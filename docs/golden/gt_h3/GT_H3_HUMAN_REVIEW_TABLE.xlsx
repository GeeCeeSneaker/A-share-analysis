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1704a4f64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78847efeea4741b1"/>
    <x:sheet xmlns:r="http://schemas.openxmlformats.org/officeDocument/2006/relationships" name="逐案审阅表" sheetId="2" r:id="R90c2f410c36146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5B657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bdd03d21f4461" /><Relationship Type="http://schemas.openxmlformats.org/officeDocument/2006/relationships/theme" Target="/xl/theme/theme1.xml" Id="Re845283ad29049c0" /><Relationship Type="http://schemas.openxmlformats.org/officeDocument/2006/relationships/sharedStrings" Target="/xl/sharedStrings.xml" Id="Rb06445735e124a9f" /><Relationship Type="http://schemas.openxmlformats.org/officeDocument/2006/relationships/worksheet" Target="/xl/worksheets/sheet1.xml" Id="R78847efeea4741b1" /><Relationship Type="http://schemas.openxmlformats.org/officeDocument/2006/relationships/worksheet" Target="/xl/worksheets/sheet2.xml" Id="R90c2f410c3614634" /></Relationships>
</file>

<file path=xl/tables/table1.xml><?xml version="1.0" encoding="utf-8"?>
<x:table xmlns:x="http://schemas.openxmlformats.org/spreadsheetml/2006/main" id="1" name="HumanReviewTable" displayName="HumanReviewTable" ref="A4:N129" headerRowCount="1" totalsRowCount="0" totalsRowShown="0">
  <x:tableColumns count="14">
    <x:tableColumn id="1" name="序号"/>
    <x:tableColumn id="2" name="案例ID"/>
    <x:tableColumn id="3" name="分组"/>
    <x:tableColumn id="4" name="事件类型"/>
    <x:tableColumn id="5" name="证券代码"/>
    <x:tableColumn id="6" name="交易日"/>
    <x:tableColumn id="7" name="候选材料类型"/>
    <x:tableColumn id="8" name="官方材料名称"/>
    <x:tableColumn id="9" name="官方链接"/>
    <x:tableColumn id="10" name="必须核对（按这一行）"/>
    <x:tableColumn id="11" name="结果（仅填 APPROVE/REJECT）"/>
    <x:tableColumn id="12" name="简短反馈（REJECT 写原因）"/>
    <x:tableColumn id="13" name="审阅人"/>
    <x:tableColumn id="14" name="审阅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bfe050eb724fa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72" hidden="0" customWidth="1"/>
  </x:cols>
  <x:sheetData>
    <x:row r="1" ht="30" customHeight="1">
      <x:c r="A1" s="32" t="str">
        <x:v>GT-H3 人工审阅表</x:v>
      </x:c>
      <x:c r="B1" s="14"/>
    </x:row>
    <x:row r="2" ht="28" customHeight="1">
      <x:c r="A2" s="33" t="str">
        <x:v>候选版本：v4-candidate-20260906｜125 条案例｜请按逐案表格填写，不要修改案例事实</x:v>
      </x:c>
      <x:c r="B2" s="14"/>
    </x:row>
    <x:row r="3" ht="24" customHeight="1">
      <x:c r="A3" s="14"/>
      <x:c r="B3" s="14"/>
    </x:row>
    <x:row r="4" ht="24" customHeight="1">
      <x:c r="A4" s="18" t="str">
        <x:v>总案例数</x:v>
      </x:c>
      <x:c r="B4" s="18" t="n">
        <x:v>125</x:v>
      </x:c>
    </x:row>
    <x:row r="5" ht="24" customHeight="1">
      <x:c r="A5" s="18" t="str">
        <x:v>已填写</x:v>
      </x:c>
      <x:c r="B5" s="18" t="n">
        <x:f>COUNTIF('逐案审阅表'!K5:K129,"APPROVE")+COUNTIF('逐案审阅表'!K5:K129,"REJECT")</x:f>
        <x:v>0</x:v>
      </x:c>
    </x:row>
    <x:row r="6" ht="24" customHeight="1">
      <x:c r="A6" s="18" t="str">
        <x:v>APPROVE</x:v>
      </x:c>
      <x:c r="B6" s="18" t="n">
        <x:f>COUNTIF('逐案审阅表'!K5:K129,"APPROVE")</x:f>
        <x:v>0</x:v>
      </x:c>
    </x:row>
    <x:row r="7" ht="24" customHeight="1">
      <x:c r="A7" s="18" t="str">
        <x:v>REJECT</x:v>
      </x:c>
      <x:c r="B7" s="18" t="n">
        <x:f>COUNTIF('逐案审阅表'!K5:K129,"REJECT")</x:f>
        <x:v>0</x:v>
      </x:c>
    </x:row>
    <x:row r="8" ht="24" customHeight="1">
      <x:c r="A8" s="18" t="str">
        <x:v>未填写</x:v>
      </x:c>
      <x:c r="B8" s="18" t="n">
        <x:f>B4-B5</x:f>
        <x:v>125</x:v>
      </x:c>
    </x:row>
    <x:row r="9" ht="24" customHeight="1">
      <x:c r="A9" s="18" t="str">
        <x:v>表格状态</x:v>
      </x:c>
      <x:c r="B9" s="18" t="str">
        <x:f>IF(B8=0,"125 行均已填写，仍需提交人工声明","还有行未填写")</x:f>
        <x:v>还有行未填写</x:v>
      </x:c>
    </x:row>
    <x:row r="10" ht="24" customHeight="1">
      <x:c r="A10" s="14"/>
      <x:c r="B10" s="14"/>
    </x:row>
    <x:row r="11" ht="24" customHeight="1">
      <x:c r="A11" s="14" t="str">
        <x:v>填写步骤</x:v>
      </x:c>
      <x:c r="B11" s="14"/>
    </x:row>
    <x:row r="12" ht="30" customHeight="1">
      <x:c r="A12" s="14" t="str">
        <x:v>1. 打开逐案表中每行的官方链接，阅读官方原文。</x:v>
      </x:c>
      <x:c r="B12" s="14"/>
    </x:row>
    <x:row r="13" ht="30" customHeight="1">
      <x:c r="A13" s="14" t="str">
        <x:v>2. 对照“必须核对”列，检查代码、日期、事件、适用板块/规则和预期值。</x:v>
      </x:c>
      <x:c r="B13" s="14"/>
    </x:row>
    <x:row r="14" ht="30" customHeight="1">
      <x:c r="A14" s="14" t="str">
        <x:v>3. 结果只填 APPROVE 或 REJECT；REJECT 必须写一个简短原因。</x:v>
      </x:c>
      <x:c r="B14" s="14"/>
    </x:row>
    <x:row r="15" ht="30" customHeight="1">
      <x:c r="A15" s="14" t="str">
        <x:v>4. 不要修改案例ID、分组或“必须核对”内容；全部完成后填写审阅人和日期。</x:v>
      </x:c>
      <x:c r="B15" s="14"/>
    </x:row>
    <x:row r="16" ht="24" customHeight="1">
      <x:c r="A16" s="14"/>
      <x:c r="B16" s="14"/>
    </x:row>
    <x:row r="17" ht="24" customHeight="1">
      <x:c r="A17" s="34" t="str">
        <x:v>反馈示例</x:v>
      </x:c>
      <x:c r="B17" s="34" t="str">
        <x:v>内容</x:v>
      </x:c>
    </x:row>
    <x:row r="18" ht="24" customHeight="1">
      <x:c r="A18" s="18" t="str">
        <x:v>通过</x:v>
      </x:c>
      <x:c r="B18" s="18" t="str">
        <x:v>APPROVE；原文已明确支持代码、日期、事件和预期值。</x:v>
      </x:c>
    </x:row>
    <x:row r="19" ht="24" customHeight="1">
      <x:c r="A19" s="18" t="str">
        <x:v>不通过</x:v>
      </x:c>
      <x:c r="B19" s="18" t="str">
        <x:v>REJECT；原因：日期不一致。</x:v>
      </x:c>
    </x:row>
    <x:row r="20" ht="24" customHeight="1">
      <x:c r="A20" s="18" t="str">
        <x:v>来源不可用</x:v>
      </x:c>
      <x:c r="B20" s="18" t="str">
        <x:v>REJECT；原因：官方原文打不开/不证明该事实。</x:v>
      </x:c>
    </x:row>
    <x:row r="21" ht="24" customHeight="1">
      <x:c r="A21" s="14"/>
      <x:c r="B21" s="14"/>
    </x:row>
    <x:row r="22" ht="24" customHeight="1">
      <x:c r="A22" s="34" t="str">
        <x:v>事件类型</x:v>
      </x:c>
      <x:c r="B22" s="34" t="str">
        <x:v>数量</x:v>
      </x:c>
    </x:row>
    <x:row r="23" ht="24" customHeight="1">
      <x:c r="A23" s="18" t="str">
        <x:v>涨跌停制度</x:v>
      </x:c>
      <x:c r="B23" s="18" t="n">
        <x:v>26</x:v>
      </x:c>
    </x:row>
    <x:row r="24" ht="24" customHeight="1">
      <x:c r="A24" s="18" t="str">
        <x:v>上市初期涨跌幅</x:v>
      </x:c>
      <x:c r="B24" s="18" t="n">
        <x:v>4</x:v>
      </x:c>
    </x:row>
    <x:row r="25" ht="24" customHeight="1">
      <x:c r="A25" s="18" t="str">
        <x:v>ST/风险警示变更</x:v>
      </x:c>
      <x:c r="B25" s="18" t="n">
        <x:v>50</x:v>
      </x:c>
    </x:row>
    <x:row r="26" ht="24" customHeight="1">
      <x:c r="A26" s="18" t="str">
        <x:v>退市/摘牌</x:v>
      </x:c>
      <x:c r="B26" s="18" t="n">
        <x:v>20</x:v>
      </x:c>
    </x:row>
    <x:row r="27" ht="24" customHeight="1">
      <x:c r="A27" s="18" t="str">
        <x:v>分红/配股除权</x:v>
      </x:c>
      <x:c r="B27" s="18" t="n">
        <x:v>25</x:v>
      </x:c>
    </x:row>
  </x:sheetData>
  <x:mergeCells>
    <x:mergeCell ref="A2:B2"/>
    <x:mergeCell ref="A12:B12"/>
    <x:mergeCell ref="A13:B13"/>
    <x:mergeCell ref="A14:B14"/>
    <x:mergeCell ref="A15:B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6" hidden="0" customWidth="1"/>
    <x:col min="2" max="2" width="28" hidden="0" customWidth="1"/>
    <x:col min="3" max="3" width="10" hidden="0" customWidth="1"/>
    <x:col min="4" max="4" width="16" hidden="0" customWidth="1"/>
    <x:col min="5" max="5" width="13" hidden="0" customWidth="1"/>
    <x:col min="6" max="6" width="12" hidden="0" customWidth="1"/>
    <x:col min="7" max="7" width="20" hidden="0" customWidth="1"/>
    <x:col min="8" max="8" width="34" hidden="0" customWidth="1"/>
    <x:col min="9" max="9" width="44" hidden="0" customWidth="1"/>
    <x:col min="10" max="10" width="64" hidden="0" customWidth="1"/>
    <x:col min="11" max="11" width="18" hidden="0" customWidth="1"/>
    <x:col min="12" max="12" width="34" hidden="0" customWidth="1"/>
    <x:col min="13" max="13" width="16" hidden="0" customWidth="1"/>
    <x:col min="14" max="14" width="14" hidden="0" customWidth="1"/>
  </x:cols>
  <x:sheetData>
    <x:row r="1">
      <x:c r="A1" t="str">
        <x:v>GT-H3 逐案人工审阅表</x:v>
      </x:c>
    </x:row>
    <x:row r="2">
      <x:c r="A2" t="str">
        <x:v>结果栏只填 APPROVE 或 REJECT；每一行都要对照官方原文。</x:v>
      </x:c>
    </x:row>
    <x:row r="4" ht="32" customHeight="1">
      <x:c r="A4" s="16" t="str">
        <x:v>序号</x:v>
      </x:c>
      <x:c r="B4" s="16" t="str">
        <x:v>案例ID</x:v>
      </x:c>
      <x:c r="C4" s="16" t="str">
        <x:v>分组</x:v>
      </x:c>
      <x:c r="D4" s="16" t="str">
        <x:v>事件类型</x:v>
      </x:c>
      <x:c r="E4" s="16" t="str">
        <x:v>证券代码</x:v>
      </x:c>
      <x:c r="F4" s="16" t="str">
        <x:v>交易日</x:v>
      </x:c>
      <x:c r="G4" s="16" t="str">
        <x:v>候选材料类型</x:v>
      </x:c>
      <x:c r="H4" s="16" t="str">
        <x:v>官方材料名称</x:v>
      </x:c>
      <x:c r="I4" s="16" t="str">
        <x:v>官方链接</x:v>
      </x:c>
      <x:c r="J4" s="16" t="str">
        <x:v>必须核对（按这一行）</x:v>
      </x:c>
      <x:c r="K4" s="16" t="str">
        <x:v>结果（仅填 APPROVE/REJECT）</x:v>
      </x:c>
      <x:c r="L4" s="16" t="str">
        <x:v>简短反馈（REJECT 写原因）</x:v>
      </x:c>
      <x:c r="M4" s="16" t="str">
        <x:v>审阅人</x:v>
      </x:c>
      <x:c r="N4" s="16" t="str">
        <x:v>审阅日期</x:v>
      </x:c>
    </x:row>
    <x:row r="5" ht="48" customHeight="1">
      <x:c r="A5" s="17" t="n">
        <x:v>1</x:v>
      </x:c>
      <x:c r="B5" s="18" t="str">
        <x:v>GT-LIMIT-BSE30-20220104</x:v>
      </x:c>
      <x:c r="C5" s="18" t="str">
        <x:v>AG-001</x:v>
      </x:c>
      <x:c r="D5" s="18" t="str">
        <x:v>涨跌停制度</x:v>
      </x:c>
      <x:c r="E5" s="18" t="str">
        <x:v>835185.BJ</x:v>
      </x:c>
      <x:c r="F5" s="19" t="n">
        <x:v>44565</x:v>
      </x:c>
      <x:c r="G5" s="18" t="str">
        <x:v>EXCHANGE_RULEBOOK</x:v>
      </x:c>
      <x:c r="H5" s="18" t="str">
        <x:v>BSE Trading Rules (Announcement [2021]15; effective 2021-11-15; 30% price-limit clause)</x:v>
      </x:c>
      <x:c r="I5" s="18" t="str">
        <x:v>https://www.bse.cn/jygl_list/200010919.html</x:v>
      </x:c>
      <x:c r="J5" s="18" t="str">
        <x:v>核对规则适用的交易所/板块和日期范围；原文应支持 835185.BJ 在 2022-01-04 涨幅上限 30%（只核对该字段，不自行补写跌幅）。 预期值：涨幅上限 30%</x:v>
      </x:c>
      <x:c r="K5" s="17" t="str"/>
      <x:c r="L5" s="18" t="str"/>
      <x:c r="M5" s="18" t="str"/>
      <x:c r="N5" s="17" t="str"/>
    </x:row>
    <x:row r="6" ht="48" customHeight="1">
      <x:c r="A6" s="17" t="n">
        <x:v>2</x:v>
      </x:c>
      <x:c r="B6" s="18" t="str">
        <x:v>GT-LIMIT-BSE30-20220601</x:v>
      </x:c>
      <x:c r="C6" s="18" t="str">
        <x:v>AG-001</x:v>
      </x:c>
      <x:c r="D6" s="18" t="str">
        <x:v>涨跌停制度</x:v>
      </x:c>
      <x:c r="E6" s="18" t="str">
        <x:v>835185.BJ</x:v>
      </x:c>
      <x:c r="F6" s="19" t="n">
        <x:v>44713</x:v>
      </x:c>
      <x:c r="G6" s="18" t="str">
        <x:v>EXCHANGE_RULEBOOK</x:v>
      </x:c>
      <x:c r="H6" s="18" t="str">
        <x:v>BSE Trading Rules (Announcement [2021]15; effective 2021-11-15; 30% price-limit clause)</x:v>
      </x:c>
      <x:c r="I6" s="18" t="str">
        <x:v>https://www.bse.cn/jygl_list/200010919.html</x:v>
      </x:c>
      <x:c r="J6" s="18" t="str">
        <x:v>核对规则适用的交易所/板块和日期范围；原文应支持 835185.BJ 在 2022-06-01 涨幅上限 30%（只核对该字段，不自行补写跌幅）。 预期值：涨幅上限 30%</x:v>
      </x:c>
      <x:c r="K6" s="17" t="str"/>
      <x:c r="L6" s="18" t="str"/>
      <x:c r="M6" s="18" t="str"/>
      <x:c r="N6" s="17" t="str"/>
    </x:row>
    <x:row r="7" ht="48" customHeight="1">
      <x:c r="A7" s="17" t="n">
        <x:v>3</x:v>
      </x:c>
      <x:c r="B7" s="18" t="str">
        <x:v>GT-LIMIT-CN10-300001</x:v>
      </x:c>
      <x:c r="C7" s="18" t="str">
        <x:v>AG-055</x:v>
      </x:c>
      <x:c r="D7" s="18" t="str">
        <x:v>涨跌停制度</x:v>
      </x:c>
      <x:c r="E7" s="18" t="str">
        <x:v>300001.SZ</x:v>
      </x:c>
      <x:c r="F7" s="19" t="n">
        <x:v>43836</x:v>
      </x:c>
      <x:c r="G7" s="18" t="str">
        <x:v>EXCHANGE_RULEBOOK</x:v>
      </x:c>
      <x:c r="H7" s="18" t="str">
        <x:v>SZSE Trading Rules (exact historical rule page; ChiNext pre-2020-08-24 10% clause)</x:v>
      </x:c>
      <x:c r="I7" s="18" t="str">
        <x:v>https://www.szse.cn/disclosure/notice/general/t20060515_499577.html</x:v>
      </x:c>
      <x:c r="J7" s="18" t="str">
        <x:v>核对规则适用的交易所/板块和日期范围；原文应支持 300001.SZ 在 2020-01-06 涨幅上限 10%（只核对该字段，不自行补写跌幅）。 预期值：涨幅上限 10%</x:v>
      </x:c>
      <x:c r="K7" s="17" t="str"/>
      <x:c r="L7" s="18" t="str"/>
      <x:c r="M7" s="18" t="str"/>
      <x:c r="N7" s="17" t="str"/>
    </x:row>
    <x:row r="8" ht="48" customHeight="1">
      <x:c r="A8" s="17" t="n">
        <x:v>4</x:v>
      </x:c>
      <x:c r="B8" s="18" t="str">
        <x:v>GT-LIMIT-CN10-300015</x:v>
      </x:c>
      <x:c r="C8" s="18" t="str">
        <x:v>AG-055</x:v>
      </x:c>
      <x:c r="D8" s="18" t="str">
        <x:v>涨跌停制度</x:v>
      </x:c>
      <x:c r="E8" s="18" t="str">
        <x:v>300015.SZ</x:v>
      </x:c>
      <x:c r="F8" s="19" t="n">
        <x:v>43836</x:v>
      </x:c>
      <x:c r="G8" s="18" t="str">
        <x:v>EXCHANGE_RULEBOOK</x:v>
      </x:c>
      <x:c r="H8" s="18" t="str">
        <x:v>SZSE Trading Rules (exact historical rule page; ChiNext pre-2020-08-24 10% clause)</x:v>
      </x:c>
      <x:c r="I8" s="18" t="str">
        <x:v>https://www.szse.cn/disclosure/notice/general/t20060515_499577.html</x:v>
      </x:c>
      <x:c r="J8" s="18" t="str">
        <x:v>核对规则适用的交易所/板块和日期范围；原文应支持 300015.SZ 在 2020-01-06 涨幅上限 10%（只核对该字段，不自行补写跌幅）。 预期值：涨幅上限 10%</x:v>
      </x:c>
      <x:c r="K8" s="17" t="str"/>
      <x:c r="L8" s="18" t="str"/>
      <x:c r="M8" s="18" t="str"/>
      <x:c r="N8" s="17" t="str"/>
    </x:row>
    <x:row r="9" ht="48" customHeight="1">
      <x:c r="A9" s="17" t="n">
        <x:v>5</x:v>
      </x:c>
      <x:c r="B9" s="18" t="str">
        <x:v>GT-LIMIT-CN10-300059</x:v>
      </x:c>
      <x:c r="C9" s="18" t="str">
        <x:v>AG-055</x:v>
      </x:c>
      <x:c r="D9" s="18" t="str">
        <x:v>涨跌停制度</x:v>
      </x:c>
      <x:c r="E9" s="18" t="str">
        <x:v>300059.SZ</x:v>
      </x:c>
      <x:c r="F9" s="19" t="n">
        <x:v>43836</x:v>
      </x:c>
      <x:c r="G9" s="18" t="str">
        <x:v>EXCHANGE_RULEBOOK</x:v>
      </x:c>
      <x:c r="H9" s="18" t="str">
        <x:v>SZSE Trading Rules (exact historical rule page; ChiNext pre-2020-08-24 10% clause)</x:v>
      </x:c>
      <x:c r="I9" s="18" t="str">
        <x:v>https://www.szse.cn/disclosure/notice/general/t20060515_499577.html</x:v>
      </x:c>
      <x:c r="J9" s="18" t="str">
        <x:v>核对规则适用的交易所/板块和日期范围；原文应支持 300059.SZ 在 2020-01-06 涨幅上限 10%（只核对该字段，不自行补写跌幅）。 预期值：涨幅上限 10%</x:v>
      </x:c>
      <x:c r="K9" s="17" t="str"/>
      <x:c r="L9" s="18" t="str"/>
      <x:c r="M9" s="18" t="str"/>
      <x:c r="N9" s="17" t="str"/>
    </x:row>
    <x:row r="10" ht="48" customHeight="1">
      <x:c r="A10" s="17" t="n">
        <x:v>6</x:v>
      </x:c>
      <x:c r="B10" s="18" t="str">
        <x:v>GT-LIMIT-CN10-300750</x:v>
      </x:c>
      <x:c r="C10" s="18" t="str">
        <x:v>AG-055</x:v>
      </x:c>
      <x:c r="D10" s="18" t="str">
        <x:v>涨跌停制度</x:v>
      </x:c>
      <x:c r="E10" s="18" t="str">
        <x:v>300750.SZ</x:v>
      </x:c>
      <x:c r="F10" s="19" t="n">
        <x:v>43836</x:v>
      </x:c>
      <x:c r="G10" s="18" t="str">
        <x:v>EXCHANGE_RULEBOOK</x:v>
      </x:c>
      <x:c r="H10" s="18" t="str">
        <x:v>SZSE Trading Rules (exact historical rule page; ChiNext pre-2020-08-24 10% clause)</x:v>
      </x:c>
      <x:c r="I10" s="18" t="str">
        <x:v>https://www.szse.cn/disclosure/notice/general/t20060515_499577.html</x:v>
      </x:c>
      <x:c r="J10" s="18" t="str">
        <x:v>核对规则适用的交易所/板块和日期范围；原文应支持 300750.SZ 在 2020-01-06 涨幅上限 10%（只核对该字段，不自行补写跌幅）。 预期值：涨幅上限 10%</x:v>
      </x:c>
      <x:c r="K10" s="17" t="str"/>
      <x:c r="L10" s="18" t="str"/>
      <x:c r="M10" s="18" t="str"/>
      <x:c r="N10" s="17" t="str"/>
    </x:row>
    <x:row r="11" ht="48" customHeight="1">
      <x:c r="A11" s="17" t="n">
        <x:v>7</x:v>
      </x:c>
      <x:c r="B11" s="18" t="str">
        <x:v>GT-LIMIT-CN20-300015</x:v>
      </x:c>
      <x:c r="C11" s="18" t="str">
        <x:v>AG-054</x:v>
      </x:c>
      <x:c r="D11" s="18" t="str">
        <x:v>涨跌停制度</x:v>
      </x:c>
      <x:c r="E11" s="18" t="str">
        <x:v>300015.SZ</x:v>
      </x:c>
      <x:c r="F11" s="19" t="n">
        <x:v>44348</x:v>
      </x:c>
      <x:c r="G11" s="18" t="str">
        <x:v>EXCHANGE_RULEBOOK</x:v>
      </x:c>
      <x:c r="H11" s="18" t="str">
        <x:v>SZSE ChiNext Trading Special Provisions (Notice [2020]515; effective with the 2020-08-24 reform; 20% clause)</x:v>
      </x:c>
      <x:c r="I11" s="18" t="str">
        <x:v>https://www.szse.cn/disclosure/notice/general/t20200612_578381.html</x:v>
      </x:c>
      <x:c r="J11" s="18" t="str">
        <x:v>核对规则适用的交易所/板块和日期范围；原文应支持 300015.SZ 在 2021-06-01 涨停 +20%、跌停 -20%。 预期值：涨幅上限 20%；跌幅上限 20%</x:v>
      </x:c>
      <x:c r="K11" s="17" t="str"/>
      <x:c r="L11" s="18" t="str"/>
      <x:c r="M11" s="18" t="str"/>
      <x:c r="N11" s="17" t="str"/>
    </x:row>
    <x:row r="12" ht="48" customHeight="1">
      <x:c r="A12" s="17" t="n">
        <x:v>8</x:v>
      </x:c>
      <x:c r="B12" s="18" t="str">
        <x:v>GT-LIMIT-CN20-300059</x:v>
      </x:c>
      <x:c r="C12" s="18" t="str">
        <x:v>AG-054</x:v>
      </x:c>
      <x:c r="D12" s="18" t="str">
        <x:v>涨跌停制度</x:v>
      </x:c>
      <x:c r="E12" s="18" t="str">
        <x:v>300059.SZ</x:v>
      </x:c>
      <x:c r="F12" s="19" t="n">
        <x:v>44348</x:v>
      </x:c>
      <x:c r="G12" s="18" t="str">
        <x:v>EXCHANGE_RULEBOOK</x:v>
      </x:c>
      <x:c r="H12" s="18" t="str">
        <x:v>SZSE ChiNext Trading Special Provisions (Notice [2020]515; effective with the 2020-08-24 reform; 20% clause)</x:v>
      </x:c>
      <x:c r="I12" s="18" t="str">
        <x:v>https://www.szse.cn/disclosure/notice/general/t20200612_578381.html</x:v>
      </x:c>
      <x:c r="J12" s="18" t="str">
        <x:v>核对规则适用的交易所/板块和日期范围；原文应支持 300059.SZ 在 2021-06-01 涨停 +20%、跌停 -20%。 预期值：涨幅上限 20%；跌幅上限 20%</x:v>
      </x:c>
      <x:c r="K12" s="17" t="str"/>
      <x:c r="L12" s="18" t="str"/>
      <x:c r="M12" s="18" t="str"/>
      <x:c r="N12" s="17" t="str"/>
    </x:row>
    <x:row r="13" ht="48" customHeight="1">
      <x:c r="A13" s="17" t="n">
        <x:v>9</x:v>
      </x:c>
      <x:c r="B13" s="18" t="str">
        <x:v>GT-LIMIT-CN20-300124</x:v>
      </x:c>
      <x:c r="C13" s="18" t="str">
        <x:v>AG-054</x:v>
      </x:c>
      <x:c r="D13" s="18" t="str">
        <x:v>涨跌停制度</x:v>
      </x:c>
      <x:c r="E13" s="18" t="str">
        <x:v>300124.SZ</x:v>
      </x:c>
      <x:c r="F13" s="19" t="n">
        <x:v>44348</x:v>
      </x:c>
      <x:c r="G13" s="18" t="str">
        <x:v>EXCHANGE_RULEBOOK</x:v>
      </x:c>
      <x:c r="H13" s="18" t="str">
        <x:v>SZSE ChiNext Trading Special Provisions (Notice [2020]515; effective with the 2020-08-24 reform; 20% clause)</x:v>
      </x:c>
      <x:c r="I13" s="18" t="str">
        <x:v>https://www.szse.cn/disclosure/notice/general/t20200612_578381.html</x:v>
      </x:c>
      <x:c r="J13" s="18" t="str">
        <x:v>核对规则适用的交易所/板块和日期范围；原文应支持 300124.SZ 在 2021-06-01 涨停 +20%、跌停 -20%。 预期值：涨幅上限 20%；跌幅上限 20%</x:v>
      </x:c>
      <x:c r="K13" s="17" t="str"/>
      <x:c r="L13" s="18" t="str"/>
      <x:c r="M13" s="18" t="str"/>
      <x:c r="N13" s="17" t="str"/>
    </x:row>
    <x:row r="14" ht="48" customHeight="1">
      <x:c r="A14" s="17" t="n">
        <x:v>10</x:v>
      </x:c>
      <x:c r="B14" s="18" t="str">
        <x:v>GT-LIMIT-CN20-300274</x:v>
      </x:c>
      <x:c r="C14" s="18" t="str">
        <x:v>AG-054</x:v>
      </x:c>
      <x:c r="D14" s="18" t="str">
        <x:v>涨跌停制度</x:v>
      </x:c>
      <x:c r="E14" s="18" t="str">
        <x:v>300274.SZ</x:v>
      </x:c>
      <x:c r="F14" s="19" t="n">
        <x:v>44348</x:v>
      </x:c>
      <x:c r="G14" s="18" t="str">
        <x:v>EXCHANGE_RULEBOOK</x:v>
      </x:c>
      <x:c r="H14" s="18" t="str">
        <x:v>SZSE ChiNext Trading Special Provisions (Notice [2020]515; effective with the 2020-08-24 reform; 20% clause)</x:v>
      </x:c>
      <x:c r="I14" s="18" t="str">
        <x:v>https://www.szse.cn/disclosure/notice/general/t20200612_578381.html</x:v>
      </x:c>
      <x:c r="J14" s="18" t="str">
        <x:v>核对规则适用的交易所/板块和日期范围；原文应支持 300274.SZ 在 2021-06-01 涨停 +20%、跌停 -20%。 预期值：涨幅上限 20%；跌幅上限 20%</x:v>
      </x:c>
      <x:c r="K14" s="17" t="str"/>
      <x:c r="L14" s="18" t="str"/>
      <x:c r="M14" s="18" t="str"/>
      <x:c r="N14" s="17" t="str"/>
    </x:row>
    <x:row r="15" ht="48" customHeight="1">
      <x:c r="A15" s="17" t="n">
        <x:v>11</x:v>
      </x:c>
      <x:c r="B15" s="18" t="str">
        <x:v>GT-LIMIT-CN20-300750</x:v>
      </x:c>
      <x:c r="C15" s="18" t="str">
        <x:v>AG-054</x:v>
      </x:c>
      <x:c r="D15" s="18" t="str">
        <x:v>涨跌停制度</x:v>
      </x:c>
      <x:c r="E15" s="18" t="str">
        <x:v>300750.SZ</x:v>
      </x:c>
      <x:c r="F15" s="19" t="n">
        <x:v>44348</x:v>
      </x:c>
      <x:c r="G15" s="18" t="str">
        <x:v>EXCHANGE_RULEBOOK</x:v>
      </x:c>
      <x:c r="H15" s="18" t="str">
        <x:v>SZSE ChiNext Trading Special Provisions (Notice [2020]515; effective with the 2020-08-24 reform; 20% clause)</x:v>
      </x:c>
      <x:c r="I15" s="18" t="str">
        <x:v>https://www.szse.cn/disclosure/notice/general/t20200612_578381.html</x:v>
      </x:c>
      <x:c r="J15" s="18" t="str">
        <x:v>核对规则适用的交易所/板块和日期范围；原文应支持 300750.SZ 在 2021-06-01 涨停 +20%、跌停 -20%。 预期值：涨幅上限 20%；跌幅上限 20%</x:v>
      </x:c>
      <x:c r="K15" s="17" t="str"/>
      <x:c r="L15" s="18" t="str"/>
      <x:c r="M15" s="18" t="str"/>
      <x:c r="N15" s="17" t="str"/>
    </x:row>
    <x:row r="16" ht="48" customHeight="1">
      <x:c r="A16" s="17" t="n">
        <x:v>12</x:v>
      </x:c>
      <x:c r="B16" s="18" t="str">
        <x:v>GT-LIMIT-MAIN10-600019</x:v>
      </x:c>
      <x:c r="C16" s="18" t="str">
        <x:v>AG-028</x:v>
      </x:c>
      <x:c r="D16" s="18" t="str">
        <x:v>涨跌停制度</x:v>
      </x:c>
      <x:c r="E16" s="18" t="str">
        <x:v>600019.SH</x:v>
      </x:c>
      <x:c r="F16" s="19" t="n">
        <x:v>45078</x:v>
      </x:c>
      <x:c r="G16" s="18" t="str">
        <x:v>EXCHANGE_RULEBOOK</x:v>
      </x:c>
      <x:c r="H16" s="18" t="str">
        <x:v>SSE Trading Rules (exact rule page; main-board 10% price-limit clause)</x:v>
      </x:c>
      <x:c r="I16" s="18" t="str">
        <x:v>https://www.sse.com.cn/lawandrules/sselawsrules/repeal/rules/c/c_20230418_5720136.shtml</x:v>
      </x:c>
      <x:c r="J16" s="18" t="str">
        <x:v>核对规则适用的交易所/板块和日期范围；原文应支持 600019.SH 在 2023-06-01 涨停 +10%、跌停 -10%。 预期值：涨幅上限 10%；跌幅上限 10%</x:v>
      </x:c>
      <x:c r="K16" s="17" t="str"/>
      <x:c r="L16" s="18" t="str"/>
      <x:c r="M16" s="18" t="str"/>
      <x:c r="N16" s="17" t="str"/>
    </x:row>
    <x:row r="17" ht="48" customHeight="1">
      <x:c r="A17" s="17" t="n">
        <x:v>13</x:v>
      </x:c>
      <x:c r="B17" s="18" t="str">
        <x:v>GT-LIMIT-MAIN10-600036</x:v>
      </x:c>
      <x:c r="C17" s="18" t="str">
        <x:v>AG-028</x:v>
      </x:c>
      <x:c r="D17" s="18" t="str">
        <x:v>涨跌停制度</x:v>
      </x:c>
      <x:c r="E17" s="18" t="str">
        <x:v>600036.SH</x:v>
      </x:c>
      <x:c r="F17" s="19" t="n">
        <x:v>45078</x:v>
      </x:c>
      <x:c r="G17" s="18" t="str">
        <x:v>EXCHANGE_RULEBOOK</x:v>
      </x:c>
      <x:c r="H17" s="18" t="str">
        <x:v>SSE Trading Rules (exact rule page; main-board 10% price-limit clause)</x:v>
      </x:c>
      <x:c r="I17" s="18" t="str">
        <x:v>https://www.sse.com.cn/lawandrules/sselawsrules/repeal/rules/c/c_20230418_5720136.shtml</x:v>
      </x:c>
      <x:c r="J17" s="18" t="str">
        <x:v>核对规则适用的交易所/板块和日期范围；原文应支持 600036.SH 在 2023-06-01 涨停 +10%、跌停 -10%。 预期值：涨幅上限 10%；跌幅上限 10%</x:v>
      </x:c>
      <x:c r="K17" s="17" t="str"/>
      <x:c r="L17" s="18" t="str"/>
      <x:c r="M17" s="18" t="str"/>
      <x:c r="N17" s="17" t="str"/>
    </x:row>
    <x:row r="18" ht="48" customHeight="1">
      <x:c r="A18" s="17" t="n">
        <x:v>14</x:v>
      </x:c>
      <x:c r="B18" s="18" t="str">
        <x:v>GT-LIMIT-MAIN10-600104</x:v>
      </x:c>
      <x:c r="C18" s="18" t="str">
        <x:v>AG-028</x:v>
      </x:c>
      <x:c r="D18" s="18" t="str">
        <x:v>涨跌停制度</x:v>
      </x:c>
      <x:c r="E18" s="18" t="str">
        <x:v>600104.SH</x:v>
      </x:c>
      <x:c r="F18" s="19" t="n">
        <x:v>45078</x:v>
      </x:c>
      <x:c r="G18" s="18" t="str">
        <x:v>EXCHANGE_RULEBOOK</x:v>
      </x:c>
      <x:c r="H18" s="18" t="str">
        <x:v>SSE Trading Rules (exact rule page; main-board 10% price-limit clause)</x:v>
      </x:c>
      <x:c r="I18" s="18" t="str">
        <x:v>https://www.sse.com.cn/lawandrules/sselawsrules/repeal/rules/c/c_20230418_5720136.shtml</x:v>
      </x:c>
      <x:c r="J18" s="18" t="str">
        <x:v>核对规则适用的交易所/板块和日期范围；原文应支持 600104.SH 在 2023-06-01 涨停 +10%、跌停 -10%。 预期值：涨幅上限 10%；跌幅上限 10%</x:v>
      </x:c>
      <x:c r="K18" s="17" t="str"/>
      <x:c r="L18" s="18" t="str"/>
      <x:c r="M18" s="18" t="str"/>
      <x:c r="N18" s="17" t="str"/>
    </x:row>
    <x:row r="19" ht="48" customHeight="1">
      <x:c r="A19" s="17" t="n">
        <x:v>15</x:v>
      </x:c>
      <x:c r="B19" s="18" t="str">
        <x:v>GT-LIMIT-MAIN10-600519</x:v>
      </x:c>
      <x:c r="C19" s="18" t="str">
        <x:v>AG-028</x:v>
      </x:c>
      <x:c r="D19" s="18" t="str">
        <x:v>涨跌停制度</x:v>
      </x:c>
      <x:c r="E19" s="18" t="str">
        <x:v>600519.SH</x:v>
      </x:c>
      <x:c r="F19" s="19" t="n">
        <x:v>45078</x:v>
      </x:c>
      <x:c r="G19" s="18" t="str">
        <x:v>EXCHANGE_RULEBOOK</x:v>
      </x:c>
      <x:c r="H19" s="18" t="str">
        <x:v>SSE Trading Rules (exact rule page; main-board 10% price-limit clause)</x:v>
      </x:c>
      <x:c r="I19" s="18" t="str">
        <x:v>https://www.sse.com.cn/lawandrules/sselawsrules/repeal/rules/c/c_20230418_5720136.shtml</x:v>
      </x:c>
      <x:c r="J19" s="18" t="str">
        <x:v>核对规则适用的交易所/板块和日期范围；原文应支持 600519.SH 在 2023-06-01 涨停 +10%、跌停 -10%。 预期值：涨幅上限 10%；跌幅上限 10%</x:v>
      </x:c>
      <x:c r="K19" s="17" t="str"/>
      <x:c r="L19" s="18" t="str"/>
      <x:c r="M19" s="18" t="str"/>
      <x:c r="N19" s="17" t="str"/>
    </x:row>
    <x:row r="20" ht="48" customHeight="1">
      <x:c r="A20" s="17" t="n">
        <x:v>16</x:v>
      </x:c>
      <x:c r="B20" s="18" t="str">
        <x:v>GT-LIMIT-MAIN10-600900</x:v>
      </x:c>
      <x:c r="C20" s="18" t="str">
        <x:v>AG-028</x:v>
      </x:c>
      <x:c r="D20" s="18" t="str">
        <x:v>涨跌停制度</x:v>
      </x:c>
      <x:c r="E20" s="18" t="str">
        <x:v>600900.SH</x:v>
      </x:c>
      <x:c r="F20" s="19" t="n">
        <x:v>45078</x:v>
      </x:c>
      <x:c r="G20" s="18" t="str">
        <x:v>EXCHANGE_RULEBOOK</x:v>
      </x:c>
      <x:c r="H20" s="18" t="str">
        <x:v>SSE Trading Rules (exact rule page; main-board 10% price-limit clause)</x:v>
      </x:c>
      <x:c r="I20" s="18" t="str">
        <x:v>https://www.sse.com.cn/lawandrules/sselawsrules/repeal/rules/c/c_20230418_5720136.shtml</x:v>
      </x:c>
      <x:c r="J20" s="18" t="str">
        <x:v>核对规则适用的交易所/板块和日期范围；原文应支持 600900.SH 在 2023-06-01 涨停 +10%、跌停 -10%。 预期值：涨幅上限 10%；跌幅上限 10%</x:v>
      </x:c>
      <x:c r="K20" s="17" t="str"/>
      <x:c r="L20" s="18" t="str"/>
      <x:c r="M20" s="18" t="str"/>
      <x:c r="N20" s="17" t="str"/>
    </x:row>
    <x:row r="21" ht="48" customHeight="1">
      <x:c r="A21" s="17" t="n">
        <x:v>17</x:v>
      </x:c>
      <x:c r="B21" s="18" t="str">
        <x:v>GT-LIMIT-MAIN10-601318</x:v>
      </x:c>
      <x:c r="C21" s="18" t="str">
        <x:v>AG-028</x:v>
      </x:c>
      <x:c r="D21" s="18" t="str">
        <x:v>涨跌停制度</x:v>
      </x:c>
      <x:c r="E21" s="18" t="str">
        <x:v>601318.SH</x:v>
      </x:c>
      <x:c r="F21" s="19" t="n">
        <x:v>45078</x:v>
      </x:c>
      <x:c r="G21" s="18" t="str">
        <x:v>EXCHANGE_RULEBOOK</x:v>
      </x:c>
      <x:c r="H21" s="18" t="str">
        <x:v>SSE Trading Rules (exact rule page; main-board 10% price-limit clause)</x:v>
      </x:c>
      <x:c r="I21" s="18" t="str">
        <x:v>https://www.sse.com.cn/lawandrules/sselawsrules/repeal/rules/c/c_20230418_5720136.shtml</x:v>
      </x:c>
      <x:c r="J21" s="18" t="str">
        <x:v>核对规则适用的交易所/板块和日期范围；原文应支持 601318.SH 在 2023-06-01 涨停 +10%、跌停 -10%。 预期值：涨幅上限 10%；跌幅上限 10%</x:v>
      </x:c>
      <x:c r="K21" s="17" t="str"/>
      <x:c r="L21" s="18" t="str"/>
      <x:c r="M21" s="18" t="str"/>
      <x:c r="N21" s="17" t="str"/>
    </x:row>
    <x:row r="22" ht="48" customHeight="1">
      <x:c r="A22" s="17" t="n">
        <x:v>18</x:v>
      </x:c>
      <x:c r="B22" s="18" t="str">
        <x:v>GT-LIMIT-ST5-002450-20190422</x:v>
      </x:c>
      <x:c r="C22" s="18" t="str">
        <x:v>AG-056</x:v>
      </x:c>
      <x:c r="D22" s="18" t="str">
        <x:v>涨跌停制度</x:v>
      </x:c>
      <x:c r="E22" s="18" t="str">
        <x:v>002450.SZ</x:v>
      </x:c>
      <x:c r="F22" s="19" t="n">
        <x:v>43577</x:v>
      </x:c>
      <x:c r="G22" s="18" t="str">
        <x:v>EXCHANGE_RULEBOOK</x:v>
      </x:c>
      <x:c r="H22" s="18" t="str">
        <x:v>SZSE Trading Rules (exact historical rule page; rule 3.3.14 ST/*ST 5% clause)</x:v>
      </x:c>
      <x:c r="I22" s="18" t="str">
        <x:v>https://www.szse.cn/disclosure/notice/general/t20060515_499577.html</x:v>
      </x:c>
      <x:c r="J22" s="18" t="str">
        <x:v>核对规则适用的交易所/板块和日期范围；原文应支持 002450.SZ 在 2019-04-22 涨停 +5%、跌停 -5%。 预期值：涨幅上限 5%；跌幅上限 5%</x:v>
      </x:c>
      <x:c r="K22" s="17" t="str"/>
      <x:c r="L22" s="18" t="str"/>
      <x:c r="M22" s="18" t="str"/>
      <x:c r="N22" s="17" t="str"/>
    </x:row>
    <x:row r="23" ht="48" customHeight="1">
      <x:c r="A23" s="17" t="n">
        <x:v>19</x:v>
      </x:c>
      <x:c r="B23" s="18" t="str">
        <x:v>GT-LIMIT-ST5-002450-20190722</x:v>
      </x:c>
      <x:c r="C23" s="18" t="str">
        <x:v>AG-056</x:v>
      </x:c>
      <x:c r="D23" s="18" t="str">
        <x:v>涨跌停制度</x:v>
      </x:c>
      <x:c r="E23" s="18" t="str">
        <x:v>002450.SZ</x:v>
      </x:c>
      <x:c r="F23" s="19" t="n">
        <x:v>43668</x:v>
      </x:c>
      <x:c r="G23" s="18" t="str">
        <x:v>EXCHANGE_RULEBOOK</x:v>
      </x:c>
      <x:c r="H23" s="18" t="str">
        <x:v>SZSE Trading Rules (exact historical rule page; rule 3.3.14 ST/*ST 5% clause)</x:v>
      </x:c>
      <x:c r="I23" s="18" t="str">
        <x:v>https://www.szse.cn/disclosure/notice/general/t20060515_499577.html</x:v>
      </x:c>
      <x:c r="J23" s="18" t="str">
        <x:v>核对规则适用的交易所/板块和日期范围；原文应支持 002450.SZ 在 2019-07-22 涨停 +5%、跌停 -5%。 预期值：涨幅上限 5%；跌幅上限 5%</x:v>
      </x:c>
      <x:c r="K23" s="17" t="str"/>
      <x:c r="L23" s="18" t="str"/>
      <x:c r="M23" s="18" t="str"/>
      <x:c r="N23" s="17" t="str"/>
    </x:row>
    <x:row r="24" ht="48" customHeight="1">
      <x:c r="A24" s="17" t="n">
        <x:v>20</x:v>
      </x:c>
      <x:c r="B24" s="18" t="str">
        <x:v>GT-LIMIT-ST5-600518-20190603</x:v>
      </x:c>
      <x:c r="C24" s="18" t="str">
        <x:v>AG-025</x:v>
      </x:c>
      <x:c r="D24" s="18" t="str">
        <x:v>涨跌停制度</x:v>
      </x:c>
      <x:c r="E24" s="18" t="str">
        <x:v>600518.SH</x:v>
      </x:c>
      <x:c r="F24" s="19" t="n">
        <x:v>43619</x:v>
      </x:c>
      <x:c r="G24" s="18" t="str">
        <x:v>EXCHANGE_RULEBOOK</x:v>
      </x:c>
      <x:c r="H24" s="18" t="str">
        <x:v>SSE Risk-Warning Board Trading Measures (exact rule page; 5% price-limit clause)</x:v>
      </x:c>
      <x:c r="I24" s="18" t="str">
        <x:v>https://www.sse.com.cn/lawandrules/sselawsrules/repeal/rules/c/c_20210531_5478105.shtml</x:v>
      </x:c>
      <x:c r="J24" s="18" t="str">
        <x:v>核对规则适用的交易所/板块和日期范围；原文应支持 600518.SH 在 2019-06-03 涨停 +5%、跌停 -5%。 预期值：涨幅上限 5%；跌幅上限 5%</x:v>
      </x:c>
      <x:c r="K24" s="17" t="str"/>
      <x:c r="L24" s="18" t="str"/>
      <x:c r="M24" s="18" t="str"/>
      <x:c r="N24" s="17" t="str"/>
    </x:row>
    <x:row r="25" ht="48" customHeight="1">
      <x:c r="A25" s="17" t="n">
        <x:v>21</x:v>
      </x:c>
      <x:c r="B25" s="18" t="str">
        <x:v>GT-LIMIT-ST5-600518-20191028</x:v>
      </x:c>
      <x:c r="C25" s="18" t="str">
        <x:v>AG-025</x:v>
      </x:c>
      <x:c r="D25" s="18" t="str">
        <x:v>涨跌停制度</x:v>
      </x:c>
      <x:c r="E25" s="18" t="str">
        <x:v>600518.SH</x:v>
      </x:c>
      <x:c r="F25" s="19" t="n">
        <x:v>43766</x:v>
      </x:c>
      <x:c r="G25" s="18" t="str">
        <x:v>EXCHANGE_RULEBOOK</x:v>
      </x:c>
      <x:c r="H25" s="18" t="str">
        <x:v>SSE Risk-Warning Board Trading Measures (exact rule page; 5% price-limit clause)</x:v>
      </x:c>
      <x:c r="I25" s="18" t="str">
        <x:v>https://www.sse.com.cn/lawandrules/sselawsrules/repeal/rules/c/c_20210531_5478105.shtml</x:v>
      </x:c>
      <x:c r="J25" s="18" t="str">
        <x:v>核对规则适用的交易所/板块和日期范围；原文应支持 600518.SH 在 2019-10-28 涨停 +5%、跌停 -5%。 预期值：涨幅上限 5%；跌幅上限 5%</x:v>
      </x:c>
      <x:c r="K25" s="17" t="str"/>
      <x:c r="L25" s="18" t="str"/>
      <x:c r="M25" s="18" t="str"/>
      <x:c r="N25" s="17" t="str"/>
    </x:row>
    <x:row r="26" ht="48" customHeight="1">
      <x:c r="A26" s="17" t="n">
        <x:v>22</x:v>
      </x:c>
      <x:c r="B26" s="18" t="str">
        <x:v>GT-LIMIT-STAR20-688012</x:v>
      </x:c>
      <x:c r="C26" s="18" t="str">
        <x:v>AG-026</x:v>
      </x:c>
      <x:c r="D26" s="18" t="str">
        <x:v>涨跌停制度</x:v>
      </x:c>
      <x:c r="E26" s="18" t="str">
        <x:v>688012.SH</x:v>
      </x:c>
      <x:c r="F26" s="19" t="n">
        <x:v>44348</x:v>
      </x:c>
      <x:c r="G26" s="18" t="str">
        <x:v>EXCHANGE_RULEBOOK</x:v>
      </x:c>
      <x:c r="H26" s="18" t="str">
        <x:v>SSE STAR Market Trading Special Provisions (2019; beyond the first five listing days 20% price-limit clause)</x:v>
      </x:c>
      <x:c r="I26" s="18" t="str">
        <x:v>https://www.sse.com.cn/lawandrules/sselawsrules2025/repeal/rules/c/10785118/files/8c544552dc7e4c83a863440179f0b9de.pdf</x:v>
      </x:c>
      <x:c r="J26" s="18" t="str">
        <x:v>核对规则适用的交易所/板块和日期范围；原文应支持 688012.SH 在 2021-06-01 涨幅上限 20%（只核对该字段，不自行补写跌幅）。 预期值：涨幅上限 20%</x:v>
      </x:c>
      <x:c r="K26" s="17" t="str"/>
      <x:c r="L26" s="18" t="str"/>
      <x:c r="M26" s="18" t="str"/>
      <x:c r="N26" s="17" t="str"/>
    </x:row>
    <x:row r="27" ht="48" customHeight="1">
      <x:c r="A27" s="17" t="n">
        <x:v>23</x:v>
      </x:c>
      <x:c r="B27" s="18" t="str">
        <x:v>GT-LIMIT-STAR20-688036</x:v>
      </x:c>
      <x:c r="C27" s="18" t="str">
        <x:v>AG-026</x:v>
      </x:c>
      <x:c r="D27" s="18" t="str">
        <x:v>涨跌停制度</x:v>
      </x:c>
      <x:c r="E27" s="18" t="str">
        <x:v>688036.SH</x:v>
      </x:c>
      <x:c r="F27" s="19" t="n">
        <x:v>44348</x:v>
      </x:c>
      <x:c r="G27" s="18" t="str">
        <x:v>EXCHANGE_RULEBOOK</x:v>
      </x:c>
      <x:c r="H27" s="18" t="str">
        <x:v>SSE STAR Market Trading Special Provisions (2019; beyond the first five listing days 20% price-limit clause)</x:v>
      </x:c>
      <x:c r="I27" s="18" t="str">
        <x:v>https://www.sse.com.cn/lawandrules/sselawsrules2025/repeal/rules/c/10785118/files/8c544552dc7e4c83a863440179f0b9de.pdf</x:v>
      </x:c>
      <x:c r="J27" s="18" t="str">
        <x:v>核对规则适用的交易所/板块和日期范围；原文应支持 688036.SH 在 2021-06-01 涨幅上限 20%（只核对该字段，不自行补写跌幅）。 预期值：涨幅上限 20%</x:v>
      </x:c>
      <x:c r="K27" s="17" t="str"/>
      <x:c r="L27" s="18" t="str"/>
      <x:c r="M27" s="18" t="str"/>
      <x:c r="N27" s="17" t="str"/>
    </x:row>
    <x:row r="28" ht="48" customHeight="1">
      <x:c r="A28" s="17" t="n">
        <x:v>24</x:v>
      </x:c>
      <x:c r="B28" s="18" t="str">
        <x:v>GT-LIMIT-STAR20-688111</x:v>
      </x:c>
      <x:c r="C28" s="18" t="str">
        <x:v>AG-026</x:v>
      </x:c>
      <x:c r="D28" s="18" t="str">
        <x:v>涨跌停制度</x:v>
      </x:c>
      <x:c r="E28" s="18" t="str">
        <x:v>688111.SH</x:v>
      </x:c>
      <x:c r="F28" s="19" t="n">
        <x:v>44348</x:v>
      </x:c>
      <x:c r="G28" s="18" t="str">
        <x:v>EXCHANGE_RULEBOOK</x:v>
      </x:c>
      <x:c r="H28" s="18" t="str">
        <x:v>SSE STAR Market Trading Special Provisions (2019; beyond the first five listing days 20% price-limit clause)</x:v>
      </x:c>
      <x:c r="I28" s="18" t="str">
        <x:v>https://www.sse.com.cn/lawandrules/sselawsrules2025/repeal/rules/c/10785118/files/8c544552dc7e4c83a863440179f0b9de.pdf</x:v>
      </x:c>
      <x:c r="J28" s="18" t="str">
        <x:v>核对规则适用的交易所/板块和日期范围；原文应支持 688111.SH 在 2021-06-01 涨幅上限 20%（只核对该字段，不自行补写跌幅）。 预期值：涨幅上限 20%</x:v>
      </x:c>
      <x:c r="K28" s="17" t="str"/>
      <x:c r="L28" s="18" t="str"/>
      <x:c r="M28" s="18" t="str"/>
      <x:c r="N28" s="17" t="str"/>
    </x:row>
    <x:row r="29" ht="48" customHeight="1">
      <x:c r="A29" s="17" t="n">
        <x:v>25</x:v>
      </x:c>
      <x:c r="B29" s="18" t="str">
        <x:v>GT-LIMIT-STAR20-688599</x:v>
      </x:c>
      <x:c r="C29" s="18" t="str">
        <x:v>AG-026</x:v>
      </x:c>
      <x:c r="D29" s="18" t="str">
        <x:v>涨跌停制度</x:v>
      </x:c>
      <x:c r="E29" s="18" t="str">
        <x:v>688599.SH</x:v>
      </x:c>
      <x:c r="F29" s="19" t="n">
        <x:v>44348</x:v>
      </x:c>
      <x:c r="G29" s="18" t="str">
        <x:v>EXCHANGE_RULEBOOK</x:v>
      </x:c>
      <x:c r="H29" s="18" t="str">
        <x:v>SSE STAR Market Trading Special Provisions (2019; beyond the first five listing days 20% price-limit clause)</x:v>
      </x:c>
      <x:c r="I29" s="18" t="str">
        <x:v>https://www.sse.com.cn/lawandrules/sselawsrules2025/repeal/rules/c/10785118/files/8c544552dc7e4c83a863440179f0b9de.pdf</x:v>
      </x:c>
      <x:c r="J29" s="18" t="str">
        <x:v>核对规则适用的交易所/板块和日期范围；原文应支持 688599.SH 在 2021-06-01 涨幅上限 20%（只核对该字段，不自行补写跌幅）。 预期值：涨幅上限 20%</x:v>
      </x:c>
      <x:c r="K29" s="17" t="str"/>
      <x:c r="L29" s="18" t="str"/>
      <x:c r="M29" s="18" t="str"/>
      <x:c r="N29" s="17" t="str"/>
    </x:row>
    <x:row r="30" ht="48" customHeight="1">
      <x:c r="A30" s="17" t="n">
        <x:v>26</x:v>
      </x:c>
      <x:c r="B30" s="18" t="str">
        <x:v>GT-LIMIT-STAR20-688981</x:v>
      </x:c>
      <x:c r="C30" s="18" t="str">
        <x:v>AG-026</x:v>
      </x:c>
      <x:c r="D30" s="18" t="str">
        <x:v>涨跌停制度</x:v>
      </x:c>
      <x:c r="E30" s="18" t="str">
        <x:v>688981.SH</x:v>
      </x:c>
      <x:c r="F30" s="19" t="n">
        <x:v>44348</x:v>
      </x:c>
      <x:c r="G30" s="18" t="str">
        <x:v>EXCHANGE_RULEBOOK</x:v>
      </x:c>
      <x:c r="H30" s="18" t="str">
        <x:v>SSE STAR Market Trading Special Provisions (2019; beyond the first five listing days 20% price-limit clause)</x:v>
      </x:c>
      <x:c r="I30" s="18" t="str">
        <x:v>https://www.sse.com.cn/lawandrules/sselawsrules2025/repeal/rules/c/10785118/files/8c544552dc7e4c83a863440179f0b9de.pdf</x:v>
      </x:c>
      <x:c r="J30" s="18" t="str">
        <x:v>核对规则适用的交易所/板块和日期范围；原文应支持 688981.SH 在 2021-06-01 涨幅上限 20%（只核对该字段，不自行补写跌幅）。 预期值：涨幅上限 20%</x:v>
      </x:c>
      <x:c r="K30" s="17" t="str"/>
      <x:c r="L30" s="18" t="str"/>
      <x:c r="M30" s="18" t="str"/>
      <x:c r="N30" s="17" t="str"/>
    </x:row>
    <x:row r="31" ht="48" customHeight="1">
      <x:c r="A31" s="17" t="n">
        <x:v>27</x:v>
      </x:c>
      <x:c r="B31" s="18" t="str">
        <x:v>GT-LIMIT-IPO44-601995</x:v>
      </x:c>
      <x:c r="C31" s="18" t="str">
        <x:v>AG-029</x:v>
      </x:c>
      <x:c r="D31" s="18" t="str">
        <x:v>上市初期涨跌幅</x:v>
      </x:c>
      <x:c r="E31" s="18" t="str">
        <x:v>601995.SH</x:v>
      </x:c>
      <x:c r="F31" s="19" t="n">
        <x:v>44137</x:v>
      </x:c>
      <x:c r="G31" s="18" t="str">
        <x:v>EXCHANGE_RULEBOOK</x:v>
      </x:c>
      <x:c r="H31" s="18" t="str">
        <x:v>SSE Trading Rules (exact rule page; main-board IPO first-day ±44%/−36% regime)</x:v>
      </x:c>
      <x:c r="I31" s="18" t="str">
        <x:v>https://www.sse.com.cn/lawandrules/sselawsrules/repeal/rules/c/c_20230418_5720136.shtml</x:v>
      </x:c>
      <x:c r="J31" s="18" t="str">
        <x:v>核对上市首日规则的适用板块和日期；原文应支持 601995.SH 在 2020-11-02 涨幅上限 +44%、跌幅上限 -36%。 预期值：涨幅上限 44%；跌幅上限 36%</x:v>
      </x:c>
      <x:c r="K31" s="17" t="str"/>
      <x:c r="L31" s="18" t="str"/>
      <x:c r="M31" s="18" t="str"/>
      <x:c r="N31" s="17" t="str"/>
    </x:row>
    <x:row r="32" ht="48" customHeight="1">
      <x:c r="A32" s="17" t="n">
        <x:v>28</x:v>
      </x:c>
      <x:c r="B32" s="18" t="str">
        <x:v>GT-LIMIT-IPO44-605499</x:v>
      </x:c>
      <x:c r="C32" s="18" t="str">
        <x:v>AG-029</x:v>
      </x:c>
      <x:c r="D32" s="18" t="str">
        <x:v>上市初期涨跌幅</x:v>
      </x:c>
      <x:c r="E32" s="18" t="str">
        <x:v>605499.SH</x:v>
      </x:c>
      <x:c r="F32" s="19" t="n">
        <x:v>44343</x:v>
      </x:c>
      <x:c r="G32" s="18" t="str">
        <x:v>EXCHANGE_RULEBOOK</x:v>
      </x:c>
      <x:c r="H32" s="18" t="str">
        <x:v>SSE Trading Rules (exact rule page; main-board IPO first-day ±44%/−36% regime)</x:v>
      </x:c>
      <x:c r="I32" s="18" t="str">
        <x:v>https://www.sse.com.cn/lawandrules/sselawsrules/repeal/rules/c/c_20230418_5720136.shtml</x:v>
      </x:c>
      <x:c r="J32" s="18" t="str">
        <x:v>核对上市首日规则的适用板块和日期；原文应支持 605499.SH 在 2021-05-27 涨幅上限 +44%、跌幅上限 -36%。 预期值：涨幅上限 44%；跌幅上限 36%</x:v>
      </x:c>
      <x:c r="K32" s="17" t="str"/>
      <x:c r="L32" s="18" t="str"/>
      <x:c r="M32" s="18" t="str"/>
      <x:c r="N32" s="17" t="str"/>
    </x:row>
    <x:row r="33" ht="48" customHeight="1">
      <x:c r="A33" s="17" t="n">
        <x:v>29</x:v>
      </x:c>
      <x:c r="B33" s="18" t="str">
        <x:v>GT-LIMIT-STARNO-20200722</x:v>
      </x:c>
      <x:c r="C33" s="18" t="str">
        <x:v>AG-027</x:v>
      </x:c>
      <x:c r="D33" s="18" t="str">
        <x:v>上市初期涨跌幅</x:v>
      </x:c>
      <x:c r="E33" s="18" t="str">
        <x:v>688981.SH</x:v>
      </x:c>
      <x:c r="F33" s="19" t="n">
        <x:v>44034</x:v>
      </x:c>
      <x:c r="G33" s="18" t="str">
        <x:v>EXCHANGE_RULEBOOK</x:v>
      </x:c>
      <x:c r="H33" s="18" t="str">
        <x:v>SSE STAR Market Trading Special Provisions (2019; first five listing days no limit, later 20%)</x:v>
      </x:c>
      <x:c r="I33" s="18" t="str">
        <x:v>https://www.sse.com.cn/lawandrules/sselawsrules2025/repeal/rules/c/10785118/files/8c544552dc7e4c83a863440179f0b9de.pdf</x:v>
      </x:c>
      <x:c r="J33" s="18" t="str">
        <x:v>核对上市初期规则的适用板块和日期；原文应明确 688981.SH 在 2020-07-22 所处上市初期不设涨跌幅限制。 预期值：涨幅限制字段 不设限制；跌幅限制字段 不设限制</x:v>
      </x:c>
      <x:c r="K33" s="17" t="str"/>
      <x:c r="L33" s="18" t="str"/>
      <x:c r="M33" s="18" t="str"/>
      <x:c r="N33" s="17" t="str"/>
    </x:row>
    <x:row r="34" ht="48" customHeight="1">
      <x:c r="A34" s="17" t="n">
        <x:v>30</x:v>
      </x:c>
      <x:c r="B34" s="18" t="str">
        <x:v>GT-LIMIT-STARNO-20200723</x:v>
      </x:c>
      <x:c r="C34" s="18" t="str">
        <x:v>AG-027</x:v>
      </x:c>
      <x:c r="D34" s="18" t="str">
        <x:v>上市初期涨跌幅</x:v>
      </x:c>
      <x:c r="E34" s="18" t="str">
        <x:v>688981.SH</x:v>
      </x:c>
      <x:c r="F34" s="19" t="n">
        <x:v>44035</x:v>
      </x:c>
      <x:c r="G34" s="18" t="str">
        <x:v>EXCHANGE_RULEBOOK</x:v>
      </x:c>
      <x:c r="H34" s="18" t="str">
        <x:v>SSE STAR Market Trading Special Provisions (2019; first five listing days no limit, later 20%)</x:v>
      </x:c>
      <x:c r="I34" s="18" t="str">
        <x:v>https://www.sse.com.cn/lawandrules/sselawsrules2025/repeal/rules/c/10785118/files/8c544552dc7e4c83a863440179f0b9de.pdf</x:v>
      </x:c>
      <x:c r="J34" s="18" t="str">
        <x:v>核对上市初期规则的适用板块和日期；原文应明确 688981.SH 在 2020-07-23 所处上市初期不设涨跌幅限制。 预期值：涨幅限制字段 不设限制；跌幅限制字段 不设限制</x:v>
      </x:c>
      <x:c r="K34" s="17" t="str"/>
      <x:c r="L34" s="18" t="str"/>
      <x:c r="M34" s="18" t="str"/>
      <x:c r="N34" s="17" t="str"/>
    </x:row>
    <x:row r="35" ht="48" customHeight="1">
      <x:c r="A35" s="17" t="n">
        <x:v>31</x:v>
      </x:c>
      <x:c r="B35" s="18" t="str">
        <x:v>GT-H2-ST-ST_ADD-000410-20220419</x:v>
      </x:c>
      <x:c r="C35" s="18" t="str">
        <x:v>AG-098</x:v>
      </x:c>
      <x:c r="D35" s="18" t="str">
        <x:v>ST/风险警示变更</x:v>
      </x:c>
      <x:c r="E35" s="18" t="str">
        <x:v>000410.SZ</x:v>
      </x:c>
      <x:c r="F35" s="19" t="n">
        <x:v>44670</x:v>
      </x:c>
      <x:c r="G35" s="18" t="str">
        <x:v>SZSE_ANNOUNCEMENT</x:v>
      </x:c>
      <x:c r="H35" s="18" t="str">
        <x:v>SZSE official disclosure referring to *ST 沈机 risk warning effective 2022-04-19</x:v>
      </x:c>
      <x:c r="I35" s="18" t="str">
        <x:v>https://disc.static.szse.cn/disc/disk03/finalpage/2023-04-29/fc4e9195-d651-477a-9bb9-a1e5f52cc43a.PDF</x:v>
      </x:c>
      <x:c r="J35" s="18" t="str">
        <x:v>核对官方公告是否明确 000410.SZ 自 2022-04-19 起新增 ST/风险警示；交易日为 2022-04-19，期望 ST 标记为 true。 预期值：ST标记=true</x:v>
      </x:c>
      <x:c r="K35" s="17" t="str"/>
      <x:c r="L35" s="18" t="str"/>
      <x:c r="M35" s="18" t="str"/>
      <x:c r="N35" s="17" t="str"/>
    </x:row>
    <x:row r="36" ht="48" customHeight="1">
      <x:c r="A36" s="17" t="n">
        <x:v>32</x:v>
      </x:c>
      <x:c r="B36" s="18" t="str">
        <x:v>GT-H2-ST-ST_ADD-000525-20240919</x:v>
      </x:c>
      <x:c r="C36" s="18" t="str">
        <x:v>AG-100</x:v>
      </x:c>
      <x:c r="D36" s="18" t="str">
        <x:v>ST/风险警示变更</x:v>
      </x:c>
      <x:c r="E36" s="18" t="str">
        <x:v>000525.SZ</x:v>
      </x:c>
      <x:c r="F36" s="19" t="n">
        <x:v>45554</x:v>
      </x:c>
      <x:c r="G36" s="18" t="str">
        <x:v>SZSE_ANNOUNCEMENT</x:v>
      </x:c>
      <x:c r="H36" s="18" t="str">
        <x:v>SZSE official disclosure referring to *ST 红阳 risk warning effective 2024-09-19</x:v>
      </x:c>
      <x:c r="I36" s="18" t="str">
        <x:v>https://disc.static.szse.cn/disc/disk03/finalpage/2024-10-09/a133a2c9-9d40-4c92-85ac-3efed7d8359d.PDF</x:v>
      </x:c>
      <x:c r="J36" s="18" t="str">
        <x:v>核对官方公告是否明确 000525.SZ 自 2024-09-19 起新增 ST/风险警示；交易日为 2024-09-19，期望 ST 标记为 true。 预期值：ST标记=true</x:v>
      </x:c>
      <x:c r="K36" s="17" t="str"/>
      <x:c r="L36" s="18" t="str"/>
      <x:c r="M36" s="18" t="str"/>
      <x:c r="N36" s="17" t="str"/>
    </x:row>
    <x:row r="37" ht="48" customHeight="1">
      <x:c r="A37" s="17" t="n">
        <x:v>33</x:v>
      </x:c>
      <x:c r="B37" s="18" t="str">
        <x:v>GT-H2-ST-ST_ADD-000540-20230505</x:v>
      </x:c>
      <x:c r="C37" s="18" t="str">
        <x:v>AG-059</x:v>
      </x:c>
      <x:c r="D37" s="18" t="str">
        <x:v>ST/风险警示变更</x:v>
      </x:c>
      <x:c r="E37" s="18" t="str">
        <x:v>000540.SZ</x:v>
      </x:c>
      <x:c r="F37" s="19" t="n">
        <x:v>45051</x:v>
      </x:c>
      <x:c r="G37" s="18" t="str">
        <x:v>SZSE_ANNOUNCEMENT</x:v>
      </x:c>
      <x:c r="H37" s="18" t="str">
        <x:v>SZSE official announcement: *ST 中天 risk warning effective 2023-05-05</x:v>
      </x:c>
      <x:c r="I37" s="18" t="str">
        <x:v>https://disc.static.szse.cn/disc/disk03/finalpage/2023-04-29/09ad58d3-6179-47a3-bba4-1cccf853ae04.PDF</x:v>
      </x:c>
      <x:c r="J37" s="18" t="str">
        <x:v>核对官方公告是否明确 000540.SZ 自 2023-05-05 起新增 ST/风险警示；交易日为 2023-05-05，期望 ST 标记为 true。 预期值：ST标记=true</x:v>
      </x:c>
      <x:c r="K37" s="17" t="str"/>
      <x:c r="L37" s="18" t="str"/>
      <x:c r="M37" s="18" t="str"/>
      <x:c r="N37" s="17" t="str"/>
    </x:row>
    <x:row r="38" ht="48" customHeight="1">
      <x:c r="A38" s="17" t="n">
        <x:v>34</x:v>
      </x:c>
      <x:c r="B38" s="18" t="str">
        <x:v>GT-H2-ST-ST_ADD-000606-20220506</x:v>
      </x:c>
      <x:c r="C38" s="18" t="str">
        <x:v>AG-103</x:v>
      </x:c>
      <x:c r="D38" s="18" t="str">
        <x:v>ST/风险警示变更</x:v>
      </x:c>
      <x:c r="E38" s="18" t="str">
        <x:v>000606.SZ</x:v>
      </x:c>
      <x:c r="F38" s="19" t="n">
        <x:v>44687</x:v>
      </x:c>
      <x:c r="G38" s="18" t="str">
        <x:v>SZSE_ANNOUNCEMENT</x:v>
      </x:c>
      <x:c r="H38" s="18" t="str">
        <x:v>SZSE official disclosure referring to *ST 顺利 risk warning effective 2022-05-06</x:v>
      </x:c>
      <x:c r="I38" s="18" t="str">
        <x:v>https://disc.static.szse.cn/disc/disk03/finalpage/2023-03-13/fd76e611-9f68-4ddc-96de-7c8a37fc5fda.PDF</x:v>
      </x:c>
      <x:c r="J38" s="18" t="str">
        <x:v>核对官方公告是否明确 000606.SZ 自 2022-05-06 起新增 ST/风险警示；交易日为 2022-05-06，期望 ST 标记为 true。 预期值：ST标记=true</x:v>
      </x:c>
      <x:c r="K38" s="17" t="str"/>
      <x:c r="L38" s="18" t="str"/>
      <x:c r="M38" s="18" t="str"/>
      <x:c r="N38" s="17" t="str"/>
    </x:row>
    <x:row r="39" ht="48" customHeight="1">
      <x:c r="A39" s="17" t="n">
        <x:v>35</x:v>
      </x:c>
      <x:c r="B39" s="18" t="str">
        <x:v>GT-H2-ST-ST_ADD-000616-20230504</x:v>
      </x:c>
      <x:c r="C39" s="18" t="str">
        <x:v>AG-062</x:v>
      </x:c>
      <x:c r="D39" s="18" t="str">
        <x:v>ST/风险警示变更</x:v>
      </x:c>
      <x:c r="E39" s="18" t="str">
        <x:v>000616.SZ</x:v>
      </x:c>
      <x:c r="F39" s="19" t="n">
        <x:v>45050</x:v>
      </x:c>
      <x:c r="G39" s="18" t="str">
        <x:v>SZSE_ANNOUNCEMENT</x:v>
      </x:c>
      <x:c r="H39" s="18" t="str">
        <x:v>SZSE official announcement: *ST 海投 risk warning effective 2023-05-04</x:v>
      </x:c>
      <x:c r="I39" s="18" t="str">
        <x:v>https://disc.static.szse.cn/disc/disk03/finalpage/2023-04-28/10329d33-dd5b-416b-a0cf-2af0a33c4e13.PDF</x:v>
      </x:c>
      <x:c r="J39" s="18" t="str">
        <x:v>核对官方公告是否明确 000616.SZ 自 2023-05-04 起新增 ST/风险警示；交易日为 2023-05-04，期望 ST 标记为 true。 预期值：ST标记=true</x:v>
      </x:c>
      <x:c r="K39" s="17" t="str"/>
      <x:c r="L39" s="18" t="str"/>
      <x:c r="M39" s="18" t="str"/>
      <x:c r="N39" s="17" t="str"/>
    </x:row>
    <x:row r="40" ht="48" customHeight="1">
      <x:c r="A40" s="17" t="n">
        <x:v>36</x:v>
      </x:c>
      <x:c r="B40" s="18" t="str">
        <x:v>GT-H2-ST-ST_ADD-000806-20220506</x:v>
      </x:c>
      <x:c r="C40" s="18" t="str">
        <x:v>AG-069</x:v>
      </x:c>
      <x:c r="D40" s="18" t="str">
        <x:v>ST/风险警示变更</x:v>
      </x:c>
      <x:c r="E40" s="18" t="str">
        <x:v>000806.SZ</x:v>
      </x:c>
      <x:c r="F40" s="19" t="n">
        <x:v>44687</x:v>
      </x:c>
      <x:c r="G40" s="18" t="str">
        <x:v>SZSE_ANNOUNCEMENT</x:v>
      </x:c>
      <x:c r="H40" s="18" t="str">
        <x:v>SZSE official announcement: *ST 银河 risk warning effective 2022-05-06</x:v>
      </x:c>
      <x:c r="I40" s="18" t="str">
        <x:v>http://disc.static.szse.cn/disc/disk03/finalpage/2022-04-30/b6d5b6a7-e992-4ff1-bd09-832e4e500651.PDF</x:v>
      </x:c>
      <x:c r="J40" s="18" t="str">
        <x:v>核对官方公告是否明确 000806.SZ 自 2022-05-06 起新增 ST/风险警示；交易日为 2022-05-06，期望 ST 标记为 true。 预期值：ST标记=true</x:v>
      </x:c>
      <x:c r="K40" s="17" t="str"/>
      <x:c r="L40" s="18" t="str"/>
      <x:c r="M40" s="18" t="str"/>
      <x:c r="N40" s="17" t="str"/>
    </x:row>
    <x:row r="41" ht="48" customHeight="1">
      <x:c r="A41" s="17" t="n">
        <x:v>37</x:v>
      </x:c>
      <x:c r="B41" s="18" t="str">
        <x:v>GT-H2-ST-ST_ADD-000995-20220429</x:v>
      </x:c>
      <x:c r="C41" s="18" t="str">
        <x:v>AG-099</x:v>
      </x:c>
      <x:c r="D41" s="18" t="str">
        <x:v>ST/风险警示变更</x:v>
      </x:c>
      <x:c r="E41" s="18" t="str">
        <x:v>000995.SZ</x:v>
      </x:c>
      <x:c r="F41" s="19" t="n">
        <x:v>44680</x:v>
      </x:c>
      <x:c r="G41" s="18" t="str">
        <x:v>SZSE_ANNOUNCEMENT</x:v>
      </x:c>
      <x:c r="H41" s="18" t="str">
        <x:v>SZSE official disclosure referring to *ST 皇台 risk warning effective 2022-04-29</x:v>
      </x:c>
      <x:c r="I41" s="18" t="str">
        <x:v>https://disc.static.szse.cn/disc/disk03/finalpage/2023-03-13/0637c8e3-59a6-45ce-a0e5-de996b4a72e5.PDF</x:v>
      </x:c>
      <x:c r="J41" s="18" t="str">
        <x:v>核对官方公告是否明确 000995.SZ 自 2022-04-29 起新增 ST/风险警示；交易日为 2022-04-29，期望 ST 标记为 true。 预期值：ST标记=true</x:v>
      </x:c>
      <x:c r="K41" s="17" t="str"/>
      <x:c r="L41" s="18" t="str"/>
      <x:c r="M41" s="18" t="str"/>
      <x:c r="N41" s="17" t="str"/>
    </x:row>
    <x:row r="42" ht="48" customHeight="1">
      <x:c r="A42" s="17" t="n">
        <x:v>38</x:v>
      </x:c>
      <x:c r="B42" s="18" t="str">
        <x:v>GT-H2-ST-ST_ADD-002022-20220506</x:v>
      </x:c>
      <x:c r="C42" s="18" t="str">
        <x:v>AG-064</x:v>
      </x:c>
      <x:c r="D42" s="18" t="str">
        <x:v>ST/风险警示变更</x:v>
      </x:c>
      <x:c r="E42" s="18" t="str">
        <x:v>002022.SZ</x:v>
      </x:c>
      <x:c r="F42" s="19" t="n">
        <x:v>44687</x:v>
      </x:c>
      <x:c r="G42" s="18" t="str">
        <x:v>SZSE_ANNOUNCEMENT</x:v>
      </x:c>
      <x:c r="H42" s="18" t="str">
        <x:v>SZSE official announcement: *ST 科华 risk warning effective 2022-05-06</x:v>
      </x:c>
      <x:c r="I42" s="18" t="str">
        <x:v>http://disc.static.szse.cn/disc/disk02/finalpage/2022-04-30/a781efcd-39ab-4be8-9c80-0cc15863a36c.PDF</x:v>
      </x:c>
      <x:c r="J42" s="18" t="str">
        <x:v>核对官方公告是否明确 002022.SZ 自 2022-05-06 起新增 ST/风险警示；交易日为 2022-05-06，期望 ST 标记为 true。 预期值：ST标记=true</x:v>
      </x:c>
      <x:c r="K42" s="17" t="str"/>
      <x:c r="L42" s="18" t="str"/>
      <x:c r="M42" s="18" t="str"/>
      <x:c r="N42" s="17" t="str"/>
    </x:row>
    <x:row r="43" ht="48" customHeight="1">
      <x:c r="A43" s="17" t="n">
        <x:v>39</x:v>
      </x:c>
      <x:c r="B43" s="18" t="str">
        <x:v>GT-H2-ST-ST_ADD-002086-20230505</x:v>
      </x:c>
      <x:c r="C43" s="18" t="str">
        <x:v>AG-089</x:v>
      </x:c>
      <x:c r="D43" s="18" t="str">
        <x:v>ST/风险警示变更</x:v>
      </x:c>
      <x:c r="E43" s="18" t="str">
        <x:v>002086.SZ</x:v>
      </x:c>
      <x:c r="F43" s="19" t="n">
        <x:v>45051</x:v>
      </x:c>
      <x:c r="G43" s="18" t="str">
        <x:v>SZSE_ANNOUNCEMENT</x:v>
      </x:c>
      <x:c r="H43" s="18" t="str">
        <x:v>SZSE official disclosure referring to *ST 东洋 risk warning effective 2023-05-05</x:v>
      </x:c>
      <x:c r="I43" s="18" t="str">
        <x:v>https://disc.static.szse.cn/disc/disk03/finalpage/2023-12-01/d12ed6af-2ddf-4be3-9c59-050a5484375e.PDF</x:v>
      </x:c>
      <x:c r="J43" s="18" t="str">
        <x:v>核对官方公告是否明确 002086.SZ 自 2023-05-05 起新增 ST/风险警示；交易日为 2023-05-05，期望 ST 标记为 true。 预期值：ST标记=true</x:v>
      </x:c>
      <x:c r="K43" s="17" t="str"/>
      <x:c r="L43" s="18" t="str"/>
      <x:c r="M43" s="18" t="str"/>
      <x:c r="N43" s="17" t="str"/>
    </x:row>
    <x:row r="44" ht="48" customHeight="1">
      <x:c r="A44" s="17" t="n">
        <x:v>40</x:v>
      </x:c>
      <x:c r="B44" s="18" t="str">
        <x:v>GT-H2-ST-ST_ADD-002113-20200429</x:v>
      </x:c>
      <x:c r="C44" s="18" t="str">
        <x:v>AG-093</x:v>
      </x:c>
      <x:c r="D44" s="18" t="str">
        <x:v>ST/风险警示变更</x:v>
      </x:c>
      <x:c r="E44" s="18" t="str">
        <x:v>002113.SZ</x:v>
      </x:c>
      <x:c r="F44" s="19" t="n">
        <x:v>43950</x:v>
      </x:c>
      <x:c r="G44" s="18" t="str">
        <x:v>SZSE_ANNOUNCEMENT</x:v>
      </x:c>
      <x:c r="H44" s="18" t="str">
        <x:v>SZSE official disclosure referring to *ST 天润 risk warning effective 2020-04-29</x:v>
      </x:c>
      <x:c r="I44" s="18" t="str">
        <x:v>http://disc.static.szse.cn/download/disc/disk02/finalpage/2021-08-26/d61cb4c7-8be7-45c6-ace7-99e1faed88e1.PDF</x:v>
      </x:c>
      <x:c r="J44" s="18" t="str">
        <x:v>核对官方公告是否明确 002113.SZ 自 2020-04-29 起新增 ST/风险警示；交易日为 2020-04-29，期望 ST 标记为 true。 预期值：ST标记=true</x:v>
      </x:c>
      <x:c r="K44" s="17" t="str"/>
      <x:c r="L44" s="18" t="str"/>
      <x:c r="M44" s="18" t="str"/>
      <x:c r="N44" s="17" t="str"/>
    </x:row>
    <x:row r="45" ht="48" customHeight="1">
      <x:c r="A45" s="17" t="n">
        <x:v>41</x:v>
      </x:c>
      <x:c r="B45" s="18" t="str">
        <x:v>GT-H2-ST-ST_ADD-002217-20240506</x:v>
      </x:c>
      <x:c r="C45" s="18" t="str">
        <x:v>AG-090</x:v>
      </x:c>
      <x:c r="D45" s="18" t="str">
        <x:v>ST/风险警示变更</x:v>
      </x:c>
      <x:c r="E45" s="18" t="str">
        <x:v>002217.SZ</x:v>
      </x:c>
      <x:c r="F45" s="19" t="n">
        <x:v>45418</x:v>
      </x:c>
      <x:c r="G45" s="18" t="str">
        <x:v>SZSE_ANNOUNCEMENT</x:v>
      </x:c>
      <x:c r="H45" s="18" t="str">
        <x:v>SZSE official disclosure referring to *ST 合泰 risk warning effective 2024-05-06</x:v>
      </x:c>
      <x:c r="I45" s="18" t="str">
        <x:v>https://disc.static.szse.cn/disc/disk03/finalpage/2024-05-16/a4389dc6-97e8-4f1b-a2cc-bae0de6e5dec.PDF</x:v>
      </x:c>
      <x:c r="J45" s="18" t="str">
        <x:v>核对官方公告是否明确 002217.SZ 自 2024-05-06 起新增 ST/风险警示；交易日为 2024-05-06，期望 ST 标记为 true。 预期值：ST标记=true</x:v>
      </x:c>
      <x:c r="K45" s="17" t="str"/>
      <x:c r="L45" s="18" t="str"/>
      <x:c r="M45" s="18" t="str"/>
      <x:c r="N45" s="17" t="str"/>
    </x:row>
    <x:row r="46" ht="48" customHeight="1">
      <x:c r="A46" s="17" t="n">
        <x:v>42</x:v>
      </x:c>
      <x:c r="B46" s="18" t="str">
        <x:v>GT-H2-ST-ST_ADD-002417-20220421</x:v>
      </x:c>
      <x:c r="C46" s="18" t="str">
        <x:v>AG-063</x:v>
      </x:c>
      <x:c r="D46" s="18" t="str">
        <x:v>ST/风险警示变更</x:v>
      </x:c>
      <x:c r="E46" s="18" t="str">
        <x:v>002417.SZ</x:v>
      </x:c>
      <x:c r="F46" s="19" t="n">
        <x:v>44672</x:v>
      </x:c>
      <x:c r="G46" s="18" t="str">
        <x:v>SZSE_ANNOUNCEMENT</x:v>
      </x:c>
      <x:c r="H46" s="18" t="str">
        <x:v>SZSE official announcement: *ST 深南 risk warning effective 2022-04-21</x:v>
      </x:c>
      <x:c r="I46" s="18" t="str">
        <x:v>https://disc.static.szse.cn/disc/disk03/finalpage/2022-04-20/d5512186-9d1c-4c2b-98a6-5a3d641e83a6.PDF</x:v>
      </x:c>
      <x:c r="J46" s="18" t="str">
        <x:v>核对官方公告是否明确 002417.SZ 自 2022-04-21 起新增 ST/风险警示；交易日为 2022-04-21，期望 ST 标记为 true。 预期值：ST标记=true</x:v>
      </x:c>
      <x:c r="K46" s="17" t="str"/>
      <x:c r="L46" s="18" t="str"/>
      <x:c r="M46" s="18" t="str"/>
      <x:c r="N46" s="17" t="str"/>
    </x:row>
    <x:row r="47" ht="48" customHeight="1">
      <x:c r="A47" s="17" t="n">
        <x:v>43</x:v>
      </x:c>
      <x:c r="B47" s="18" t="str">
        <x:v>GT-H2-ST-ST_ADD-002433-20230505</x:v>
      </x:c>
      <x:c r="C47" s="18" t="str">
        <x:v>AG-094</x:v>
      </x:c>
      <x:c r="D47" s="18" t="str">
        <x:v>ST/风险警示变更</x:v>
      </x:c>
      <x:c r="E47" s="18" t="str">
        <x:v>002433.SZ</x:v>
      </x:c>
      <x:c r="F47" s="19" t="n">
        <x:v>45051</x:v>
      </x:c>
      <x:c r="G47" s="18" t="str">
        <x:v>SZSE_ANNOUNCEMENT</x:v>
      </x:c>
      <x:c r="H47" s="18" t="str">
        <x:v>SZSE official disclosure referring to *ST 太安 risk warning effective 2023-05-05</x:v>
      </x:c>
      <x:c r="I47" s="18" t="str">
        <x:v>https://disc.static.szse.cn/disc/disk03/finalpage/2024-04-30/20e9fe23-010b-4cd6-a0e8-cb71676efd21.PDF</x:v>
      </x:c>
      <x:c r="J47" s="18" t="str">
        <x:v>核对官方公告是否明确 002433.SZ 自 2023-05-05 起新增 ST/风险警示；交易日为 2023-05-05，期望 ST 标记为 true。 预期值：ST标记=true</x:v>
      </x:c>
      <x:c r="K47" s="17" t="str"/>
      <x:c r="L47" s="18" t="str"/>
      <x:c r="M47" s="18" t="str"/>
      <x:c r="N47" s="17" t="str"/>
    </x:row>
    <x:row r="48" ht="48" customHeight="1">
      <x:c r="A48" s="17" t="n">
        <x:v>44</x:v>
      </x:c>
      <x:c r="B48" s="18" t="str">
        <x:v>GT-H2-ST-ST_ADD-002485-20220506</x:v>
      </x:c>
      <x:c r="C48" s="18" t="str">
        <x:v>AG-070</x:v>
      </x:c>
      <x:c r="D48" s="18" t="str">
        <x:v>ST/风险警示变更</x:v>
      </x:c>
      <x:c r="E48" s="18" t="str">
        <x:v>002485.SZ</x:v>
      </x:c>
      <x:c r="F48" s="19" t="n">
        <x:v>44687</x:v>
      </x:c>
      <x:c r="G48" s="18" t="str">
        <x:v>SZSE_ANNOUNCEMENT</x:v>
      </x:c>
      <x:c r="H48" s="18" t="str">
        <x:v>SZSE official announcement: *ST 雪发 risk warning effective 2022-05-06</x:v>
      </x:c>
      <x:c r="I48" s="18" t="str">
        <x:v>http://disc.static.szse.cn/disc/disk03/finalpage/2022-04-30/4cb2d78e-0ec1-4c86-93b9-0d7e08127e5e.PDF</x:v>
      </x:c>
      <x:c r="J48" s="18" t="str">
        <x:v>核对官方公告是否明确 002485.SZ 自 2022-05-06 起新增 ST/风险警示；交易日为 2022-05-06，期望 ST 标记为 true。 预期值：ST标记=true</x:v>
      </x:c>
      <x:c r="K48" s="17" t="str"/>
      <x:c r="L48" s="18" t="str"/>
      <x:c r="M48" s="18" t="str"/>
      <x:c r="N48" s="17" t="str"/>
    </x:row>
    <x:row r="49" ht="48" customHeight="1">
      <x:c r="A49" s="17" t="n">
        <x:v>45</x:v>
      </x:c>
      <x:c r="B49" s="18" t="str">
        <x:v>GT-H2-ST-ST_ADD-002781-20220506</x:v>
      </x:c>
      <x:c r="C49" s="18" t="str">
        <x:v>AG-095</x:v>
      </x:c>
      <x:c r="D49" s="18" t="str">
        <x:v>ST/风险警示变更</x:v>
      </x:c>
      <x:c r="E49" s="18" t="str">
        <x:v>002781.SZ</x:v>
      </x:c>
      <x:c r="F49" s="19" t="n">
        <x:v>44687</x:v>
      </x:c>
      <x:c r="G49" s="18" t="str">
        <x:v>SZSE_ANNOUNCEMENT</x:v>
      </x:c>
      <x:c r="H49" s="18" t="str">
        <x:v>SZSE official disclosure referring to *ST 奇信 risk warning effective 2022-05-06</x:v>
      </x:c>
      <x:c r="I49" s="18" t="str">
        <x:v>https://disc.static.szse.cn/disc/disk03/finalpage/2022-11-18/d507ec79-4364-4159-b566-3b52c4df5c48.PDF</x:v>
      </x:c>
      <x:c r="J49" s="18" t="str">
        <x:v>核对官方公告是否明确 002781.SZ 自 2022-05-06 起新增 ST/风险警示；交易日为 2022-05-06，期望 ST 标记为 true。 预期值：ST标记=true</x:v>
      </x:c>
      <x:c r="K49" s="17" t="str"/>
      <x:c r="L49" s="18" t="str"/>
      <x:c r="M49" s="18" t="str"/>
      <x:c r="N49" s="17" t="str"/>
    </x:row>
    <x:row r="50" ht="48" customHeight="1">
      <x:c r="A50" s="17" t="n">
        <x:v>46</x:v>
      </x:c>
      <x:c r="B50" s="18" t="str">
        <x:v>GT-H2-ST-ST_ADD-300064-20210428</x:v>
      </x:c>
      <x:c r="C50" s="18" t="str">
        <x:v>AG-068</x:v>
      </x:c>
      <x:c r="D50" s="18" t="str">
        <x:v>ST/风险警示变更</x:v>
      </x:c>
      <x:c r="E50" s="18" t="str">
        <x:v>300064.SZ</x:v>
      </x:c>
      <x:c r="F50" s="19" t="n">
        <x:v>44314</x:v>
      </x:c>
      <x:c r="G50" s="18" t="str">
        <x:v>SZSE_ANNOUNCEMENT</x:v>
      </x:c>
      <x:c r="H50" s="18" t="str">
        <x:v>SZSE official announcement: *ST 金刚 risk warning effective 2021-04-28</x:v>
      </x:c>
      <x:c r="I50" s="18" t="str">
        <x:v>http://disc.static.szse.cn/download/disc/disk02/finalpage/2021-04-27/853620b1-b4a9-432d-9ee8-d8dcefd821d6.PDF</x:v>
      </x:c>
      <x:c r="J50" s="18" t="str">
        <x:v>核对官方公告是否明确 300064.SZ 自 2021-04-28 起新增 ST/风险警示；交易日为 2021-04-28，期望 ST 标记为 true。 预期值：ST标记=true</x:v>
      </x:c>
      <x:c r="K50" s="17" t="str"/>
      <x:c r="L50" s="18" t="str"/>
      <x:c r="M50" s="18" t="str"/>
      <x:c r="N50" s="17" t="str"/>
    </x:row>
    <x:row r="51" ht="48" customHeight="1">
      <x:c r="A51" s="17" t="n">
        <x:v>47</x:v>
      </x:c>
      <x:c r="B51" s="18" t="str">
        <x:v>GT-H2-ST-ST_ADD-300108-20240430</x:v>
      </x:c>
      <x:c r="C51" s="18" t="str">
        <x:v>AG-091</x:v>
      </x:c>
      <x:c r="D51" s="18" t="str">
        <x:v>ST/风险警示变更</x:v>
      </x:c>
      <x:c r="E51" s="18" t="str">
        <x:v>300108.SZ</x:v>
      </x:c>
      <x:c r="F51" s="19" t="n">
        <x:v>45412</x:v>
      </x:c>
      <x:c r="G51" s="18" t="str">
        <x:v>SZSE_ANNOUNCEMENT</x:v>
      </x:c>
      <x:c r="H51" s="18" t="str">
        <x:v>SZSE official disclosure referring to *ST 吉药 risk warning effective 2024-04-30</x:v>
      </x:c>
      <x:c r="I51" s="18" t="str">
        <x:v>https://disc.static.szse.cn/disc/disk03/finalpage/2025-03-10/cfd76336-3ab7-4c6d-8e17-8fdb4fe8c447.PDF</x:v>
      </x:c>
      <x:c r="J51" s="18" t="str">
        <x:v>核对官方公告是否明确 300108.SZ 自 2024-04-30 起新增 ST/风险警示；交易日为 2024-04-30，期望 ST 标记为 true。 预期值：ST标记=true</x:v>
      </x:c>
      <x:c r="K51" s="17" t="str"/>
      <x:c r="L51" s="18" t="str"/>
      <x:c r="M51" s="18" t="str"/>
      <x:c r="N51" s="17" t="str"/>
    </x:row>
    <x:row r="52" ht="48" customHeight="1">
      <x:c r="A52" s="17" t="n">
        <x:v>48</x:v>
      </x:c>
      <x:c r="B52" s="18" t="str">
        <x:v>GT-H2-ST-ST_ADD-300167-20240430</x:v>
      </x:c>
      <x:c r="C52" s="18" t="str">
        <x:v>AG-102</x:v>
      </x:c>
      <x:c r="D52" s="18" t="str">
        <x:v>ST/风险警示变更</x:v>
      </x:c>
      <x:c r="E52" s="18" t="str">
        <x:v>300167.SZ</x:v>
      </x:c>
      <x:c r="F52" s="19" t="n">
        <x:v>45412</x:v>
      </x:c>
      <x:c r="G52" s="18" t="str">
        <x:v>SZSE_ANNOUNCEMENT</x:v>
      </x:c>
      <x:c r="H52" s="18" t="str">
        <x:v>SZSE official disclosure referring to *ST 迪威风险警示 effective 2024-04-30</x:v>
      </x:c>
      <x:c r="I52" s="18" t="str">
        <x:v>https://disc.static.szse.cn/disc/disk03/finalpage/2025-04-29/30ec3b9a-dd82-4aaf-bf05-273e9edcb2a0.pdf</x:v>
      </x:c>
      <x:c r="J52" s="18" t="str">
        <x:v>核对官方公告是否明确 300167.SZ 自 2024-04-30 起新增 ST/风险警示；交易日为 2024-04-30，期望 ST 标记为 true。 预期值：ST标记=true</x:v>
      </x:c>
      <x:c r="K52" s="17" t="str"/>
      <x:c r="L52" s="18" t="str"/>
      <x:c r="M52" s="18" t="str"/>
      <x:c r="N52" s="17" t="str"/>
    </x:row>
    <x:row r="53" ht="48" customHeight="1">
      <x:c r="A53" s="17" t="n">
        <x:v>49</x:v>
      </x:c>
      <x:c r="B53" s="18" t="str">
        <x:v>GT-H2-ST-ST_ADD-300208-20240430</x:v>
      </x:c>
      <x:c r="C53" s="18" t="str">
        <x:v>AG-060</x:v>
      </x:c>
      <x:c r="D53" s="18" t="str">
        <x:v>ST/风险警示变更</x:v>
      </x:c>
      <x:c r="E53" s="18" t="str">
        <x:v>300208.SZ</x:v>
      </x:c>
      <x:c r="F53" s="19" t="n">
        <x:v>45412</x:v>
      </x:c>
      <x:c r="G53" s="18" t="str">
        <x:v>SZSE_ANNOUNCEMENT</x:v>
      </x:c>
      <x:c r="H53" s="18" t="str">
        <x:v>SZSE official announcement: *ST 中程 risk warning effective 2024-04-30</x:v>
      </x:c>
      <x:c r="I53" s="18" t="str">
        <x:v>https://disc.static.szse.cn/disc/disk03/finalpage/2024-04-26/97177b91-6c27-437c-83e0-3c52d2f7b729.PDF</x:v>
      </x:c>
      <x:c r="J53" s="18" t="str">
        <x:v>核对官方公告是否明确 300208.SZ 自 2024-04-30 起新增 ST/风险警示；交易日为 2024-04-30，期望 ST 标记为 true。 预期值：ST标记=true</x:v>
      </x:c>
      <x:c r="K53" s="17" t="str"/>
      <x:c r="L53" s="18" t="str"/>
      <x:c r="M53" s="18" t="str"/>
      <x:c r="N53" s="17" t="str"/>
    </x:row>
    <x:row r="54" ht="48" customHeight="1">
      <x:c r="A54" s="17" t="n">
        <x:v>50</x:v>
      </x:c>
      <x:c r="B54" s="18" t="str">
        <x:v>GT-H2-ST-ST_ADD-300209-20240429</x:v>
      </x:c>
      <x:c r="C54" s="18" t="str">
        <x:v>AG-097</x:v>
      </x:c>
      <x:c r="D54" s="18" t="str">
        <x:v>ST/风险警示变更</x:v>
      </x:c>
      <x:c r="E54" s="18" t="str">
        <x:v>300209.SZ</x:v>
      </x:c>
      <x:c r="F54" s="19" t="n">
        <x:v>45411</x:v>
      </x:c>
      <x:c r="G54" s="18" t="str">
        <x:v>SZSE_ANNOUNCEMENT</x:v>
      </x:c>
      <x:c r="H54" s="18" t="str">
        <x:v>SZSE official disclosure referring to *ST 有树 risk warning effective 2024-04-29</x:v>
      </x:c>
      <x:c r="I54" s="18" t="str">
        <x:v>https://disc.static.szse.cn/disc/disk03/finalpage/2025-04-17/16f33a70-834e-42b8-a894-d8b5abe35535.pdf</x:v>
      </x:c>
      <x:c r="J54" s="18" t="str">
        <x:v>核对官方公告是否明确 300209.SZ 自 2024-04-29 起新增 ST/风险警示；交易日为 2024-04-29，期望 ST 标记为 true。 预期值：ST标记=true</x:v>
      </x:c>
      <x:c r="K54" s="17" t="str"/>
      <x:c r="L54" s="18" t="str"/>
      <x:c r="M54" s="18" t="str"/>
      <x:c r="N54" s="17" t="str"/>
    </x:row>
    <x:row r="55" ht="48" customHeight="1">
      <x:c r="A55" s="17" t="n">
        <x:v>51</x:v>
      </x:c>
      <x:c r="B55" s="18" t="str">
        <x:v>GT-H2-ST-ST_ADD-300297-20220429</x:v>
      </x:c>
      <x:c r="C55" s="18" t="str">
        <x:v>AG-065</x:v>
      </x:c>
      <x:c r="D55" s="18" t="str">
        <x:v>ST/风险警示变更</x:v>
      </x:c>
      <x:c r="E55" s="18" t="str">
        <x:v>300297.SZ</x:v>
      </x:c>
      <x:c r="F55" s="19" t="n">
        <x:v>44680</x:v>
      </x:c>
      <x:c r="G55" s="18" t="str">
        <x:v>SZSE_ANNOUNCEMENT</x:v>
      </x:c>
      <x:c r="H55" s="18" t="str">
        <x:v>SZSE official announcement: *ST 蓝盾 risk warning effective 2022-04-29</x:v>
      </x:c>
      <x:c r="I55" s="18" t="str">
        <x:v>https://disc.static.szse.cn/disc/disk03/finalpage/2023-03-28/39fe9657-2530-48aa-9ff9-98cac5f2e15e.PDF</x:v>
      </x:c>
      <x:c r="J55" s="18" t="str">
        <x:v>核对官方公告是否明确 300297.SZ 自 2022-04-29 起新增 ST/风险警示；交易日为 2022-04-29，期望 ST 标记为 true。 预期值：ST标记=true</x:v>
      </x:c>
      <x:c r="K55" s="17" t="str"/>
      <x:c r="L55" s="18" t="str"/>
      <x:c r="M55" s="18" t="str"/>
      <x:c r="N55" s="17" t="str"/>
    </x:row>
    <x:row r="56" ht="48" customHeight="1">
      <x:c r="A56" s="17" t="n">
        <x:v>52</x:v>
      </x:c>
      <x:c r="B56" s="18" t="str">
        <x:v>GT-H2-ST-ST_ADD-300312-20210429</x:v>
      </x:c>
      <x:c r="C56" s="18" t="str">
        <x:v>AG-067</x:v>
      </x:c>
      <x:c r="D56" s="18" t="str">
        <x:v>ST/风险警示变更</x:v>
      </x:c>
      <x:c r="E56" s="18" t="str">
        <x:v>300312.SZ</x:v>
      </x:c>
      <x:c r="F56" s="19" t="n">
        <x:v>44315</x:v>
      </x:c>
      <x:c r="G56" s="18" t="str">
        <x:v>SZSE_ANNOUNCEMENT</x:v>
      </x:c>
      <x:c r="H56" s="18" t="str">
        <x:v>SZSE official announcement: *ST 邦讯 risk warning effective 2021-04-29</x:v>
      </x:c>
      <x:c r="I56" s="18" t="str">
        <x:v>http://disc.static.szse.cn/download/disc/disk02/finalpage/2021-04-28/3a1e7c33-47d7-43d3-ba85-203b8221353e.PDF</x:v>
      </x:c>
      <x:c r="J56" s="18" t="str">
        <x:v>核对官方公告是否明确 300312.SZ 自 2021-04-29 起新增 ST/风险警示；交易日为 2021-04-29，期望 ST 标记为 true。 预期值：ST标记=true</x:v>
      </x:c>
      <x:c r="K56" s="17" t="str"/>
      <x:c r="L56" s="18" t="str"/>
      <x:c r="M56" s="18" t="str"/>
      <x:c r="N56" s="17" t="str"/>
    </x:row>
    <x:row r="57" ht="48" customHeight="1">
      <x:c r="A57" s="17" t="n">
        <x:v>53</x:v>
      </x:c>
      <x:c r="B57" s="18" t="str">
        <x:v>GT-H2-ST-ST_ADD-300330-20220808</x:v>
      </x:c>
      <x:c r="C57" s="18" t="str">
        <x:v>AG-066</x:v>
      </x:c>
      <x:c r="D57" s="18" t="str">
        <x:v>ST/风险警示变更</x:v>
      </x:c>
      <x:c r="E57" s="18" t="str">
        <x:v>300330.SZ</x:v>
      </x:c>
      <x:c r="F57" s="19" t="n">
        <x:v>44781</x:v>
      </x:c>
      <x:c r="G57" s="18" t="str">
        <x:v>SZSE_ANNOUNCEMENT</x:v>
      </x:c>
      <x:c r="H57" s="18" t="str">
        <x:v>SZSE official announcement: *ST 计通 risk warning effective 2022-08-08</x:v>
      </x:c>
      <x:c r="I57" s="18" t="str">
        <x:v>https://disc.static.szse.cn/disc/disk03/finalpage/2022-08-05/832ecade-fa63-42d8-8520-388cdd3930cd.PDF</x:v>
      </x:c>
      <x:c r="J57" s="18" t="str">
        <x:v>核对官方公告是否明确 300330.SZ 自 2022-08-08 起新增 ST/风险警示；交易日为 2022-08-08，期望 ST 标记为 true。 预期值：ST标记=true</x:v>
      </x:c>
      <x:c r="K57" s="17" t="str"/>
      <x:c r="L57" s="18" t="str"/>
      <x:c r="M57" s="18" t="str"/>
      <x:c r="N57" s="17" t="str"/>
    </x:row>
    <x:row r="58" ht="48" customHeight="1">
      <x:c r="A58" s="17" t="n">
        <x:v>54</x:v>
      </x:c>
      <x:c r="B58" s="18" t="str">
        <x:v>GT-H2-ST-ST_ADD-300336-20220429</x:v>
      </x:c>
      <x:c r="C58" s="18" t="str">
        <x:v>AG-061</x:v>
      </x:c>
      <x:c r="D58" s="18" t="str">
        <x:v>ST/风险警示变更</x:v>
      </x:c>
      <x:c r="E58" s="18" t="str">
        <x:v>300336.SZ</x:v>
      </x:c>
      <x:c r="F58" s="19" t="n">
        <x:v>44680</x:v>
      </x:c>
      <x:c r="G58" s="18" t="str">
        <x:v>SZSE_ANNOUNCEMENT</x:v>
      </x:c>
      <x:c r="H58" s="18" t="str">
        <x:v>SZSE official announcement: *ST 新文 risk warning effective 2022-04-29</x:v>
      </x:c>
      <x:c r="I58" s="18" t="str">
        <x:v>https://disc.static.szse.cn/disc/disk03/finalpage/2023-01-30/58a93ed7-8b2f-4587-b43a-e9493b9daa60.PDF</x:v>
      </x:c>
      <x:c r="J58" s="18" t="str">
        <x:v>核对官方公告是否明确 300336.SZ 自 2022-04-29 起新增 ST/风险警示；交易日为 2022-04-29，期望 ST 标记为 true。 预期值：ST标记=true</x:v>
      </x:c>
      <x:c r="K58" s="17" t="str"/>
      <x:c r="L58" s="18" t="str"/>
      <x:c r="M58" s="18" t="str"/>
      <x:c r="N58" s="17" t="str"/>
    </x:row>
    <x:row r="59" ht="48" customHeight="1">
      <x:c r="A59" s="17" t="n">
        <x:v>55</x:v>
      </x:c>
      <x:c r="B59" s="18" t="str">
        <x:v>GT-H2-ST-ST_ADD-300506-20240429</x:v>
      </x:c>
      <x:c r="C59" s="18" t="str">
        <x:v>AG-092</x:v>
      </x:c>
      <x:c r="D59" s="18" t="str">
        <x:v>ST/风险警示变更</x:v>
      </x:c>
      <x:c r="E59" s="18" t="str">
        <x:v>300506.SZ</x:v>
      </x:c>
      <x:c r="F59" s="19" t="n">
        <x:v>45411</x:v>
      </x:c>
      <x:c r="G59" s="18" t="str">
        <x:v>SZSE_ANNOUNCEMENT</x:v>
      </x:c>
      <x:c r="H59" s="18" t="str">
        <x:v>SZSE official disclosure referring to *ST 名家汇 risk warning effective 2024-04-29</x:v>
      </x:c>
      <x:c r="I59" s="18" t="str">
        <x:v>https://disc.static.szse.cn/disc/disk03/finalpage/2025-03-20/cd19ee3f-0bc9-4e4b-9477-af6b6fab7c4b.pdf</x:v>
      </x:c>
      <x:c r="J59" s="18" t="str">
        <x:v>核对官方公告是否明确 300506.SZ 自 2024-04-29 起新增 ST/风险警示；交易日为 2024-04-29，期望 ST 标记为 true。 预期值：ST标记=true</x:v>
      </x:c>
      <x:c r="K59" s="17" t="str"/>
      <x:c r="L59" s="18" t="str"/>
      <x:c r="M59" s="18" t="str"/>
      <x:c r="N59" s="17" t="str"/>
    </x:row>
    <x:row r="60" ht="48" customHeight="1">
      <x:c r="A60" s="17" t="n">
        <x:v>56</x:v>
      </x:c>
      <x:c r="B60" s="18" t="str">
        <x:v>GT-H2-ST-ST_ADD-300742-20230504</x:v>
      </x:c>
      <x:c r="C60" s="18" t="str">
        <x:v>AG-101</x:v>
      </x:c>
      <x:c r="D60" s="18" t="str">
        <x:v>ST/风险警示变更</x:v>
      </x:c>
      <x:c r="E60" s="18" t="str">
        <x:v>300742.SZ</x:v>
      </x:c>
      <x:c r="F60" s="19" t="n">
        <x:v>45050</x:v>
      </x:c>
      <x:c r="G60" s="18" t="str">
        <x:v>SZSE_ANNOUNCEMENT</x:v>
      </x:c>
      <x:c r="H60" s="18" t="str">
        <x:v>SZSE official disclosure referring to *ST 越博 risk warning effective 2023-05-04</x:v>
      </x:c>
      <x:c r="I60" s="18" t="str">
        <x:v>https://disc.static.szse.cn/disc/disk03/finalpage/2024-05-08/f32b3983-feec-44e5-ba43-1bf9ec15cf84.pdf</x:v>
      </x:c>
      <x:c r="J60" s="18" t="str">
        <x:v>核对官方公告是否明确 300742.SZ 自 2023-05-04 起新增 ST/风险警示；交易日为 2023-05-04，期望 ST 标记为 true。 预期值：ST标记=true</x:v>
      </x:c>
      <x:c r="K60" s="17" t="str"/>
      <x:c r="L60" s="18" t="str"/>
      <x:c r="M60" s="18" t="str"/>
      <x:c r="N60" s="17" t="str"/>
    </x:row>
    <x:row r="61" ht="48" customHeight="1">
      <x:c r="A61" s="17" t="n">
        <x:v>57</x:v>
      </x:c>
      <x:c r="B61" s="18" t="str">
        <x:v>GT-H2-ST-ST_ADD-300965-20240429</x:v>
      </x:c>
      <x:c r="C61" s="18" t="str">
        <x:v>AG-096</x:v>
      </x:c>
      <x:c r="D61" s="18" t="str">
        <x:v>ST/风险警示变更</x:v>
      </x:c>
      <x:c r="E61" s="18" t="str">
        <x:v>300965.SZ</x:v>
      </x:c>
      <x:c r="F61" s="19" t="n">
        <x:v>45411</x:v>
      </x:c>
      <x:c r="G61" s="18" t="str">
        <x:v>SZSE_ANNOUNCEMENT</x:v>
      </x:c>
      <x:c r="H61" s="18" t="str">
        <x:v>SZSE official disclosure referring to *ST 恒宇 risk warning effective 2024-04-29</x:v>
      </x:c>
      <x:c r="I61" s="18" t="str">
        <x:v>https://disc.static.szse.cn/disc/disk03/finalpage/2025-04-11/d1f5b09c-3741-4e64-8984-a65441b01dd1.pdf</x:v>
      </x:c>
      <x:c r="J61" s="18" t="str">
        <x:v>核对官方公告是否明确 300965.SZ 自 2024-04-29 起新增 ST/风险警示；交易日为 2024-04-29，期望 ST 标记为 true。 预期值：ST标记=true</x:v>
      </x:c>
      <x:c r="K61" s="17" t="str"/>
      <x:c r="L61" s="18" t="str"/>
      <x:c r="M61" s="18" t="str"/>
      <x:c r="N61" s="17" t="str"/>
    </x:row>
    <x:row r="62" ht="48" customHeight="1">
      <x:c r="A62" s="17" t="n">
        <x:v>58</x:v>
      </x:c>
      <x:c r="B62" s="18" t="str">
        <x:v>GT-H2-ST-ST_ADD-600077-20230505</x:v>
      </x:c>
      <x:c r="C62" s="18" t="str">
        <x:v>AG-032</x:v>
      </x:c>
      <x:c r="D62" s="18" t="str">
        <x:v>ST/风险警示变更</x:v>
      </x:c>
      <x:c r="E62" s="18" t="str">
        <x:v>600077.SH</x:v>
      </x:c>
      <x:c r="F62" s="19" t="n">
        <x:v>45051</x:v>
      </x:c>
      <x:c r="G62" s="18" t="str">
        <x:v>SSE_ANNOUNCEMENT</x:v>
      </x:c>
      <x:c r="H62" s="18" t="str">
        <x:v>SSE company announcement: 宋都股份 risk-warning implementation effective 2023-05-05</x:v>
      </x:c>
      <x:c r="I62" s="18" t="str">
        <x:v>https://static.sse.com.cn/disclosure/listedinfo/announcement/c/new/2023-04-29/600077_20230429_PNOI.pdf</x:v>
      </x:c>
      <x:c r="J62" s="18" t="str">
        <x:v>核对官方公告是否明确 600077.SH 自 2023-05-05 起新增 ST/风险警示；交易日为 2023-05-05，期望 ST 标记为 true。 预期值：ST标记=true</x:v>
      </x:c>
      <x:c r="K62" s="17" t="str"/>
      <x:c r="L62" s="18" t="str"/>
      <x:c r="M62" s="18" t="str"/>
      <x:c r="N62" s="17" t="str"/>
    </x:row>
    <x:row r="63" ht="48" customHeight="1">
      <x:c r="A63" s="17" t="n">
        <x:v>59</x:v>
      </x:c>
      <x:c r="B63" s="18" t="str">
        <x:v>GT-H2-ST-ST_ADD-600213-20240506</x:v>
      </x:c>
      <x:c r="C63" s="18" t="str">
        <x:v>AG-051</x:v>
      </x:c>
      <x:c r="D63" s="18" t="str">
        <x:v>ST/风险警示变更</x:v>
      </x:c>
      <x:c r="E63" s="18" t="str">
        <x:v>600213.SH</x:v>
      </x:c>
      <x:c r="F63" s="19" t="n">
        <x:v>45418</x:v>
      </x:c>
      <x:c r="G63" s="18" t="str">
        <x:v>SSE_ANNOUNCEMENT</x:v>
      </x:c>
      <x:c r="H63" s="18" t="str">
        <x:v>SSE official risk-warning adjustment list: 600213 effective 2024-05-06</x:v>
      </x:c>
      <x:c r="I63" s="18" t="str">
        <x:v>https://www.sse.com.cn/disclosure/magin/announcement/ssereport/c/c_20240430_10753871.shtml</x:v>
      </x:c>
      <x:c r="J63" s="18" t="str">
        <x:v>核对官方公告是否明确 600213.SH 自 2024-05-06 起新增 ST/风险警示；交易日为 2024-05-06，期望 ST 标记为 true。 预期值：ST标记=true</x:v>
      </x:c>
      <x:c r="K63" s="17" t="str"/>
      <x:c r="L63" s="18" t="str"/>
      <x:c r="M63" s="18" t="str"/>
      <x:c r="N63" s="17" t="str"/>
    </x:row>
    <x:row r="64" ht="48" customHeight="1">
      <x:c r="A64" s="17" t="n">
        <x:v>60</x:v>
      </x:c>
      <x:c r="B64" s="18" t="str">
        <x:v>GT-H2-ST-ST_ADD-600466-20230504</x:v>
      </x:c>
      <x:c r="C64" s="18" t="str">
        <x:v>AG-037</x:v>
      </x:c>
      <x:c r="D64" s="18" t="str">
        <x:v>ST/风险警示变更</x:v>
      </x:c>
      <x:c r="E64" s="18" t="str">
        <x:v>600466.SH</x:v>
      </x:c>
      <x:c r="F64" s="19" t="n">
        <x:v>45050</x:v>
      </x:c>
      <x:c r="G64" s="18" t="str">
        <x:v>SSE_ANNOUNCEMENT</x:v>
      </x:c>
      <x:c r="H64" s="18" t="str">
        <x:v>SSE company announcement: 蓝光发展 risk-warning implementation effective 2023-05-04</x:v>
      </x:c>
      <x:c r="I64" s="18" t="str">
        <x:v>https://static.sse.com.cn/disclosure/listedinfo/announcement/c/new/2023-04-28/600466_20230428_CP1N.pdf</x:v>
      </x:c>
      <x:c r="J64" s="18" t="str">
        <x:v>核对官方公告是否明确 600466.SH 自 2023-05-04 起新增 ST/风险警示；交易日为 2023-05-04，期望 ST 标记为 true。 预期值：ST标记=true</x:v>
      </x:c>
      <x:c r="K64" s="17" t="str"/>
      <x:c r="L64" s="18" t="str"/>
      <x:c r="M64" s="18" t="str"/>
      <x:c r="N64" s="17" t="str"/>
    </x:row>
    <x:row r="65" ht="48" customHeight="1">
      <x:c r="A65" s="17" t="n">
        <x:v>61</x:v>
      </x:c>
      <x:c r="B65" s="18" t="str">
        <x:v>GT-H2-ST-ST_ADD-600543-20230504</x:v>
      </x:c>
      <x:c r="C65" s="18" t="str">
        <x:v>AG-036</x:v>
      </x:c>
      <x:c r="D65" s="18" t="str">
        <x:v>ST/风险警示变更</x:v>
      </x:c>
      <x:c r="E65" s="18" t="str">
        <x:v>600543.SH</x:v>
      </x:c>
      <x:c r="F65" s="19" t="n">
        <x:v>45050</x:v>
      </x:c>
      <x:c r="G65" s="18" t="str">
        <x:v>SSE_ANNOUNCEMENT</x:v>
      </x:c>
      <x:c r="H65" s="18" t="str">
        <x:v>SSE company announcement: 莫高股份 risk-warning implementation effective 2023-05-04</x:v>
      </x:c>
      <x:c r="I65" s="18" t="str">
        <x:v>https://static.sse.com.cn/disclosure/listedinfo/announcement/c/new/2023-04-28/600543_20230428_TL0Y.pdf</x:v>
      </x:c>
      <x:c r="J65" s="18" t="str">
        <x:v>核对官方公告是否明确 600543.SH 自 2023-05-04 起新增 ST/风险警示；交易日为 2023-05-04，期望 ST 标记为 true。 预期值：ST标记=true</x:v>
      </x:c>
      <x:c r="K65" s="17" t="str"/>
      <x:c r="L65" s="18" t="str"/>
      <x:c r="M65" s="18" t="str"/>
      <x:c r="N65" s="17" t="str"/>
    </x:row>
    <x:row r="66" ht="48" customHeight="1">
      <x:c r="A66" s="17" t="n">
        <x:v>62</x:v>
      </x:c>
      <x:c r="B66" s="18" t="str">
        <x:v>GT-H2-ST-ST_ADD-600593-20210722</x:v>
      </x:c>
      <x:c r="C66" s="18" t="str">
        <x:v>AG-038</x:v>
      </x:c>
      <x:c r="D66" s="18" t="str">
        <x:v>ST/风险警示变更</x:v>
      </x:c>
      <x:c r="E66" s="18" t="str">
        <x:v>600593.SH</x:v>
      </x:c>
      <x:c r="F66" s="19" t="n">
        <x:v>44399</x:v>
      </x:c>
      <x:c r="G66" s="18" t="str">
        <x:v>SSE_ANNOUNCEMENT</x:v>
      </x:c>
      <x:c r="H66" s="18" t="str">
        <x:v>SSE official announcement: 600593 risk warning effective 2021-07-22</x:v>
      </x:c>
      <x:c r="I66" s="18" t="str">
        <x:v>http://www.sse.com.cn/disclosure/announcement/general/c/c_20210720_5526013.shtml</x:v>
      </x:c>
      <x:c r="J66" s="18" t="str">
        <x:v>核对官方公告是否明确 600593.SH 自 2021-07-22 起新增 ST/风险警示；交易日为 2021-07-22，期望 ST 标记为 true。 预期值：ST标记=true</x:v>
      </x:c>
      <x:c r="K66" s="17" t="str"/>
      <x:c r="L66" s="18" t="str"/>
      <x:c r="M66" s="18" t="str"/>
      <x:c r="N66" s="17" t="str"/>
    </x:row>
    <x:row r="67" ht="48" customHeight="1">
      <x:c r="A67" s="17" t="n">
        <x:v>63</x:v>
      </x:c>
      <x:c r="B67" s="18" t="str">
        <x:v>GT-H2-ST-ST_ADD-600654-20220506</x:v>
      </x:c>
      <x:c r="C67" s="18" t="str">
        <x:v>AG-030</x:v>
      </x:c>
      <x:c r="D67" s="18" t="str">
        <x:v>ST/风险警示变更</x:v>
      </x:c>
      <x:c r="E67" s="18" t="str">
        <x:v>600654.SH</x:v>
      </x:c>
      <x:c r="F67" s="19" t="n">
        <x:v>44687</x:v>
      </x:c>
      <x:c r="G67" s="18" t="str">
        <x:v>SSE_ANNOUNCEMENT</x:v>
      </x:c>
      <x:c r="H67" s="18" t="str">
        <x:v>SSE company announcement: ST 中安 risk-warning implementation effective 2022-05-06</x:v>
      </x:c>
      <x:c r="I67" s="18" t="str">
        <x:v>https://static.sse.com.cn/disclosure/listedinfo/announcement/c/new/2022-05-05/600654_20220505_1_dNOo6yTW.pdf</x:v>
      </x:c>
      <x:c r="J67" s="18" t="str">
        <x:v>核对官方公告是否明确 600654.SH 自 2022-05-06 起新增 ST/风险警示；交易日为 2022-05-06，期望 ST 标记为 true。 预期值：ST标记=true</x:v>
      </x:c>
      <x:c r="K67" s="17" t="str"/>
      <x:c r="L67" s="18" t="str"/>
      <x:c r="M67" s="18" t="str"/>
      <x:c r="N67" s="17" t="str"/>
    </x:row>
    <x:row r="68" ht="48" customHeight="1">
      <x:c r="A68" s="17" t="n">
        <x:v>64</x:v>
      </x:c>
      <x:c r="B68" s="18" t="str">
        <x:v>GT-H2-ST-ST_ADD-601258-20230505</x:v>
      </x:c>
      <x:c r="C68" s="18" t="str">
        <x:v>AG-033</x:v>
      </x:c>
      <x:c r="D68" s="18" t="str">
        <x:v>ST/风险警示变更</x:v>
      </x:c>
      <x:c r="E68" s="18" t="str">
        <x:v>601258.SH</x:v>
      </x:c>
      <x:c r="F68" s="19" t="n">
        <x:v>45051</x:v>
      </x:c>
      <x:c r="G68" s="18" t="str">
        <x:v>SSE_ANNOUNCEMENT</x:v>
      </x:c>
      <x:c r="H68" s="18" t="str">
        <x:v>SSE company announcement: 庞大集团 risk-warning implementation effective 2023-05-05</x:v>
      </x:c>
      <x:c r="I68" s="18" t="str">
        <x:v>https://static.sse.com.cn/disclosure/listedinfo/announcement/c/new/2023-04-29/601258_20230429_KZL0.pdf</x:v>
      </x:c>
      <x:c r="J68" s="18" t="str">
        <x:v>核对官方公告是否明确 601258.SH 自 2023-05-05 起新增 ST/风险警示；交易日为 2023-05-05，期望 ST 标记为 true。 预期值：ST标记=true</x:v>
      </x:c>
      <x:c r="K68" s="17" t="str"/>
      <x:c r="L68" s="18" t="str"/>
      <x:c r="M68" s="18" t="str"/>
      <x:c r="N68" s="17" t="str"/>
    </x:row>
    <x:row r="69" ht="48" customHeight="1">
      <x:c r="A69" s="17" t="n">
        <x:v>65</x:v>
      </x:c>
      <x:c r="B69" s="18" t="str">
        <x:v>GT-H2-ST-ST_ADD-603363-20240506</x:v>
      </x:c>
      <x:c r="C69" s="18" t="str">
        <x:v>AG-052</x:v>
      </x:c>
      <x:c r="D69" s="18" t="str">
        <x:v>ST/风险警示变更</x:v>
      </x:c>
      <x:c r="E69" s="18" t="str">
        <x:v>603363.SH</x:v>
      </x:c>
      <x:c r="F69" s="19" t="n">
        <x:v>45418</x:v>
      </x:c>
      <x:c r="G69" s="18" t="str">
        <x:v>SSE_ANNOUNCEMENT</x:v>
      </x:c>
      <x:c r="H69" s="18" t="str">
        <x:v>SSE official risk-warning adjustment list: 603363 effective 2024-05-06</x:v>
      </x:c>
      <x:c r="I69" s="18" t="str">
        <x:v>https://www.sse.com.cn/disclosure/magin/announcement/ssereport/c/c_20240430_10753871.shtml</x:v>
      </x:c>
      <x:c r="J69" s="18" t="str">
        <x:v>核对官方公告是否明确 603363.SH 自 2024-05-06 起新增 ST/风险警示；交易日为 2024-05-06，期望 ST 标记为 true。 预期值：ST标记=true</x:v>
      </x:c>
      <x:c r="K69" s="17" t="str"/>
      <x:c r="L69" s="18" t="str"/>
      <x:c r="M69" s="18" t="str"/>
      <x:c r="N69" s="17" t="str"/>
    </x:row>
    <x:row r="70" ht="48" customHeight="1">
      <x:c r="A70" s="17" t="n">
        <x:v>66</x:v>
      </x:c>
      <x:c r="B70" s="18" t="str">
        <x:v>GT-H2-ST-ST_ADD-603963-20240429</x:v>
      </x:c>
      <x:c r="C70" s="18" t="str">
        <x:v>AG-031</x:v>
      </x:c>
      <x:c r="D70" s="18" t="str">
        <x:v>ST/风险警示变更</x:v>
      </x:c>
      <x:c r="E70" s="18" t="str">
        <x:v>603963.SH</x:v>
      </x:c>
      <x:c r="F70" s="19" t="n">
        <x:v>45411</x:v>
      </x:c>
      <x:c r="G70" s="18" t="str">
        <x:v>SSE_ANNOUNCEMENT</x:v>
      </x:c>
      <x:c r="H70" s="18" t="str">
        <x:v>SSE company announcement: 大理药业 risk-warning implementation effective 2024-04-29</x:v>
      </x:c>
      <x:c r="I70" s="18" t="str">
        <x:v>https://static.sse.com.cn/disclosure/listedinfo/announcement/c/new/2024-04-26/603963_20240426_ZG5D.pdf</x:v>
      </x:c>
      <x:c r="J70" s="18" t="str">
        <x:v>核对官方公告是否明确 603963.SH 自 2024-04-29 起新增 ST/风险警示；交易日为 2024-04-29，期望 ST 标记为 true。 预期值：ST标记=true</x:v>
      </x:c>
      <x:c r="K70" s="17" t="str"/>
      <x:c r="L70" s="18" t="str"/>
      <x:c r="M70" s="18" t="str"/>
      <x:c r="N70" s="17" t="str"/>
    </x:row>
    <x:row r="71" ht="48" customHeight="1">
      <x:c r="A71" s="17" t="n">
        <x:v>67</x:v>
      </x:c>
      <x:c r="B71" s="18" t="str">
        <x:v>GT-H2-ST-ST_REMOVE-000007-20220701</x:v>
      </x:c>
      <x:c r="C71" s="18" t="str">
        <x:v>AG-071</x:v>
      </x:c>
      <x:c r="D71" s="18" t="str">
        <x:v>ST/风险警示变更</x:v>
      </x:c>
      <x:c r="E71" s="18" t="str">
        <x:v>000007.SZ</x:v>
      </x:c>
      <x:c r="F71" s="19" t="n">
        <x:v>44743</x:v>
      </x:c>
      <x:c r="G71" s="18" t="str">
        <x:v>SZSE_ANNOUNCEMENT</x:v>
      </x:c>
      <x:c r="H71" s="18" t="str">
        <x:v>SZSE official announcement: 000007 *ST removal effective 2022-07-01</x:v>
      </x:c>
      <x:c r="I71" s="18" t="str">
        <x:v>https://disc.static.szse.cn/disc/disk03/finalpage/2022-06-30/7de6ae82-da34-47da-a35b-71cbb965c01e.PDF</x:v>
      </x:c>
      <x:c r="J71" s="18" t="str">
        <x:v>核对官方公告是否明确 000007.SZ 自 2022-07-01 起撤销 ST/风险警示；交易日为 2022-07-01，期望 ST 标记为 true。 预期值：ST标记=false</x:v>
      </x:c>
      <x:c r="K71" s="17" t="str"/>
      <x:c r="L71" s="18" t="str"/>
      <x:c r="M71" s="18" t="str"/>
      <x:c r="N71" s="17" t="str"/>
    </x:row>
    <x:row r="72" ht="48" customHeight="1">
      <x:c r="A72" s="17" t="n">
        <x:v>68</x:v>
      </x:c>
      <x:c r="B72" s="18" t="str">
        <x:v>GT-H2-ST-ST_REMOVE-000408-20210512</x:v>
      </x:c>
      <x:c r="C72" s="18" t="str">
        <x:v>AG-072</x:v>
      </x:c>
      <x:c r="D72" s="18" t="str">
        <x:v>ST/风险警示变更</x:v>
      </x:c>
      <x:c r="E72" s="18" t="str">
        <x:v>000408.SZ</x:v>
      </x:c>
      <x:c r="F72" s="19" t="n">
        <x:v>44328</x:v>
      </x:c>
      <x:c r="G72" s="18" t="str">
        <x:v>SZSE_ANNOUNCEMENT</x:v>
      </x:c>
      <x:c r="H72" s="18" t="str">
        <x:v>SZSE official announcement: 000408 *ST removal effective 2021-05-12</x:v>
      </x:c>
      <x:c r="I72" s="18" t="str">
        <x:v>https://disc.static.szse.cn/disc/disk02/finalpage/2021-05-11/f9006990-ffd3-40bb-9cb9-be8dc0511516.PDF</x:v>
      </x:c>
      <x:c r="J72" s="18" t="str">
        <x:v>核对官方公告是否明确 000408.SZ 自 2021-05-12 起撤销 ST/风险警示；交易日为 2021-05-12，期望 ST 标记为 true。 预期值：ST标记=false</x:v>
      </x:c>
      <x:c r="K72" s="17" t="str"/>
      <x:c r="L72" s="18" t="str"/>
      <x:c r="M72" s="18" t="str"/>
      <x:c r="N72" s="17" t="str"/>
    </x:row>
    <x:row r="73" ht="48" customHeight="1">
      <x:c r="A73" s="17" t="n">
        <x:v>69</x:v>
      </x:c>
      <x:c r="B73" s="18" t="str">
        <x:v>GT-H2-ST-ST_REMOVE-002021-20240603</x:v>
      </x:c>
      <x:c r="C73" s="18" t="str">
        <x:v>AG-073</x:v>
      </x:c>
      <x:c r="D73" s="18" t="str">
        <x:v>ST/风险警示变更</x:v>
      </x:c>
      <x:c r="E73" s="18" t="str">
        <x:v>002021.SZ</x:v>
      </x:c>
      <x:c r="F73" s="19" t="n">
        <x:v>45446</x:v>
      </x:c>
      <x:c r="G73" s="18" t="str">
        <x:v>SZSE_ANNOUNCEMENT</x:v>
      </x:c>
      <x:c r="H73" s="18" t="str">
        <x:v>SZSE official announcement: 002021 *ST removal effective 2024-06-03</x:v>
      </x:c>
      <x:c r="I73" s="18" t="str">
        <x:v>https://disc.static.szse.cn/disc/disk03/finalpage/2024-05-31/09907ab2-b9f4-4891-bfb4-21ed2cfa090d.PDF</x:v>
      </x:c>
      <x:c r="J73" s="18" t="str">
        <x:v>核对官方公告是否明确 002021.SZ 自 2024-06-03 起撤销 ST/风险警示；交易日为 2024-06-03，期望 ST 标记为 true。 预期值：ST标记=false</x:v>
      </x:c>
      <x:c r="K73" s="17" t="str"/>
      <x:c r="L73" s="18" t="str"/>
      <x:c r="M73" s="18" t="str"/>
      <x:c r="N73" s="17" t="str"/>
    </x:row>
    <x:row r="74" ht="48" customHeight="1">
      <x:c r="A74" s="17" t="n">
        <x:v>70</x:v>
      </x:c>
      <x:c r="B74" s="18" t="str">
        <x:v>GT-H2-ST-ST_REMOVE-002022-20230404</x:v>
      </x:c>
      <x:c r="C74" s="18" t="str">
        <x:v>AG-104</x:v>
      </x:c>
      <x:c r="D74" s="18" t="str">
        <x:v>ST/风险警示变更</x:v>
      </x:c>
      <x:c r="E74" s="18" t="str">
        <x:v>002022.SZ</x:v>
      </x:c>
      <x:c r="F74" s="19" t="n">
        <x:v>45020</x:v>
      </x:c>
      <x:c r="G74" s="18" t="str">
        <x:v>SZSE_ANNOUNCEMENT</x:v>
      </x:c>
      <x:c r="H74" s="18" t="str">
        <x:v>SZSE official disclosure referring to 002022 *ST removal effective 2023-04-04</x:v>
      </x:c>
      <x:c r="I74" s="18" t="str">
        <x:v>https://disc.static.szse.cn/disc/disk03/finalpage/2024-03-22/e0b014e3-3416-4526-9063-9845e9e42a6f.PDF</x:v>
      </x:c>
      <x:c r="J74" s="18" t="str">
        <x:v>核对官方公告是否明确 002022.SZ 自 2023-04-04 起撤销 ST/风险警示；交易日为 2023-04-04，期望 ST 标记为 true。 预期值：ST标记=false</x:v>
      </x:c>
      <x:c r="K74" s="17" t="str"/>
      <x:c r="L74" s="18" t="str"/>
      <x:c r="M74" s="18" t="str"/>
      <x:c r="N74" s="17" t="str"/>
    </x:row>
    <x:row r="75" ht="48" customHeight="1">
      <x:c r="A75" s="17" t="n">
        <x:v>71</x:v>
      </x:c>
      <x:c r="B75" s="18" t="str">
        <x:v>GT-H2-ST-ST_REMOVE-002058-20220523</x:v>
      </x:c>
      <x:c r="C75" s="18" t="str">
        <x:v>AG-074</x:v>
      </x:c>
      <x:c r="D75" s="18" t="str">
        <x:v>ST/风险警示变更</x:v>
      </x:c>
      <x:c r="E75" s="18" t="str">
        <x:v>002058.SZ</x:v>
      </x:c>
      <x:c r="F75" s="19" t="n">
        <x:v>44704</x:v>
      </x:c>
      <x:c r="G75" s="18" t="str">
        <x:v>SZSE_ANNOUNCEMENT</x:v>
      </x:c>
      <x:c r="H75" s="18" t="str">
        <x:v>SZSE official announcement: 002058 *ST removal effective 2022-05-23</x:v>
      </x:c>
      <x:c r="I75" s="18" t="str">
        <x:v>https://disc.static.szse.cn/disc/disk03/finalpage/2022-05-20/9ac63995-9ddd-4dca-ada2-f9fd0ead9e60.PDF</x:v>
      </x:c>
      <x:c r="J75" s="18" t="str">
        <x:v>核对官方公告是否明确 002058.SZ 自 2022-05-23 起撤销 ST/风险警示；交易日为 2022-05-23，期望 ST 标记为 true。 预期值：ST标记=false</x:v>
      </x:c>
      <x:c r="K75" s="17" t="str"/>
      <x:c r="L75" s="18" t="str"/>
      <x:c r="M75" s="18" t="str"/>
      <x:c r="N75" s="17" t="str"/>
    </x:row>
    <x:row r="76" ht="48" customHeight="1">
      <x:c r="A76" s="17" t="n">
        <x:v>72</x:v>
      </x:c>
      <x:c r="B76" s="18" t="str">
        <x:v>GT-H2-ST-ST_REMOVE-002086-20240612</x:v>
      </x:c>
      <x:c r="C76" s="18" t="str">
        <x:v>AG-075</x:v>
      </x:c>
      <x:c r="D76" s="18" t="str">
        <x:v>ST/风险警示变更</x:v>
      </x:c>
      <x:c r="E76" s="18" t="str">
        <x:v>002086.SZ</x:v>
      </x:c>
      <x:c r="F76" s="19" t="n">
        <x:v>45455</x:v>
      </x:c>
      <x:c r="G76" s="18" t="str">
        <x:v>SZSE_ANNOUNCEMENT</x:v>
      </x:c>
      <x:c r="H76" s="18" t="str">
        <x:v>SZSE official announcement: 002086 *ST removal effective 2024-06-12</x:v>
      </x:c>
      <x:c r="I76" s="18" t="str">
        <x:v>https://disc.static.szse.cn/disc/disk03/finalpage/2024-06-07/cb052454-f6db-44e0-a320-079c4c14c864.PDF</x:v>
      </x:c>
      <x:c r="J76" s="18" t="str">
        <x:v>核对官方公告是否明确 002086.SZ 自 2024-06-12 起撤销 ST/风险警示；交易日为 2024-06-12，期望 ST 标记为 true。 预期值：ST标记=false</x:v>
      </x:c>
      <x:c r="K76" s="17" t="str"/>
      <x:c r="L76" s="18" t="str"/>
      <x:c r="M76" s="18" t="str"/>
      <x:c r="N76" s="17" t="str"/>
    </x:row>
    <x:row r="77" ht="48" customHeight="1">
      <x:c r="A77" s="17" t="n">
        <x:v>73</x:v>
      </x:c>
      <x:c r="B77" s="18" t="str">
        <x:v>GT-H2-ST-ST_REMOVE-002482-20240618</x:v>
      </x:c>
      <x:c r="C77" s="18" t="str">
        <x:v>AG-076</x:v>
      </x:c>
      <x:c r="D77" s="18" t="str">
        <x:v>ST/风险警示变更</x:v>
      </x:c>
      <x:c r="E77" s="18" t="str">
        <x:v>002482.SZ</x:v>
      </x:c>
      <x:c r="F77" s="19" t="n">
        <x:v>45461</x:v>
      </x:c>
      <x:c r="G77" s="18" t="str">
        <x:v>SZSE_ANNOUNCEMENT</x:v>
      </x:c>
      <x:c r="H77" s="18" t="str">
        <x:v>SZSE official announcement: 002482 full *ST removal effective 2024-06-18</x:v>
      </x:c>
      <x:c r="I77" s="18" t="str">
        <x:v>https://disc.static.szse.cn/disc/disk03/finalpage/2024-06-14/11ae7c86-7e5d-4eba-9e5d-6bd0c31767db.PDF</x:v>
      </x:c>
      <x:c r="J77" s="18" t="str">
        <x:v>核对官方公告是否明确 002482.SZ 自 2024-06-18 起撤销 ST/风险警示；交易日为 2024-06-18，期望 ST 标记为 true。 预期值：ST标记=false</x:v>
      </x:c>
      <x:c r="K77" s="17" t="str"/>
      <x:c r="L77" s="18" t="str"/>
      <x:c r="M77" s="18" t="str"/>
      <x:c r="N77" s="17" t="str"/>
    </x:row>
    <x:row r="78" ht="48" customHeight="1">
      <x:c r="A78" s="17" t="n">
        <x:v>74</x:v>
      </x:c>
      <x:c r="B78" s="18" t="str">
        <x:v>GT-H2-ST-ST_REMOVE-002513-20210621</x:v>
      </x:c>
      <x:c r="C78" s="18" t="str">
        <x:v>AG-077</x:v>
      </x:c>
      <x:c r="D78" s="18" t="str">
        <x:v>ST/风险警示变更</x:v>
      </x:c>
      <x:c r="E78" s="18" t="str">
        <x:v>002513.SZ</x:v>
      </x:c>
      <x:c r="F78" s="19" t="n">
        <x:v>44368</x:v>
      </x:c>
      <x:c r="G78" s="18" t="str">
        <x:v>SZSE_ANNOUNCEMENT</x:v>
      </x:c>
      <x:c r="H78" s="18" t="str">
        <x:v>SZSE official announcement: 002513 *ST removal effective 2021-06-21</x:v>
      </x:c>
      <x:c r="I78" s="18" t="str">
        <x:v>https://disc.static.szse.cn/disc/disk02/finalpage/2021-06-18/0acbdccf-207a-4bab-a5fb-a6bf8d8c515a.PDF</x:v>
      </x:c>
      <x:c r="J78" s="18" t="str">
        <x:v>核对官方公告是否明确 002513.SZ 自 2021-06-21 起撤销 ST/风险警示；交易日为 2021-06-21，期望 ST 标记为 true。 预期值：ST标记=false</x:v>
      </x:c>
      <x:c r="K78" s="17" t="str"/>
      <x:c r="L78" s="18" t="str"/>
      <x:c r="M78" s="18" t="str"/>
      <x:c r="N78" s="17" t="str"/>
    </x:row>
    <x:row r="79" ht="48" customHeight="1">
      <x:c r="A79" s="17" t="n">
        <x:v>75</x:v>
      </x:c>
      <x:c r="B79" s="18" t="str">
        <x:v>GT-H2-ST-ST_REMOVE-300010-20240613</x:v>
      </x:c>
      <x:c r="C79" s="18" t="str">
        <x:v>AG-078</x:v>
      </x:c>
      <x:c r="D79" s="18" t="str">
        <x:v>ST/风险警示变更</x:v>
      </x:c>
      <x:c r="E79" s="18" t="str">
        <x:v>300010.SZ</x:v>
      </x:c>
      <x:c r="F79" s="19" t="n">
        <x:v>45456</x:v>
      </x:c>
      <x:c r="G79" s="18" t="str">
        <x:v>SZSE_ANNOUNCEMENT</x:v>
      </x:c>
      <x:c r="H79" s="18" t="str">
        <x:v>SZSE official announcement: 300010 *ST removal effective 2024-06-13</x:v>
      </x:c>
      <x:c r="I79" s="18" t="str">
        <x:v>https://disc.static.szse.cn/disc/disk03/finalpage/2024-06-12/f438ff5f-8b32-4d10-aaab-a8598162ef43.PDF</x:v>
      </x:c>
      <x:c r="J79" s="18" t="str">
        <x:v>核对官方公告是否明确 300010.SZ 自 2024-06-13 起撤销 ST/风险警示；交易日为 2024-06-13，期望 ST 标记为 true。 预期值：ST标记=false</x:v>
      </x:c>
      <x:c r="K79" s="17" t="str"/>
      <x:c r="L79" s="18" t="str"/>
      <x:c r="M79" s="18" t="str"/>
      <x:c r="N79" s="17" t="str"/>
    </x:row>
    <x:row r="80" ht="48" customHeight="1">
      <x:c r="A80" s="17" t="n">
        <x:v>76</x:v>
      </x:c>
      <x:c r="B80" s="18" t="str">
        <x:v>GT-H2-ST-ST_REMOVE-300209-20250513</x:v>
      </x:c>
      <x:c r="C80" s="18" t="str">
        <x:v>AG-079</x:v>
      </x:c>
      <x:c r="D80" s="18" t="str">
        <x:v>ST/风险警示变更</x:v>
      </x:c>
      <x:c r="E80" s="18" t="str">
        <x:v>300209.SZ</x:v>
      </x:c>
      <x:c r="F80" s="19" t="n">
        <x:v>45790</x:v>
      </x:c>
      <x:c r="G80" s="18" t="str">
        <x:v>SZSE_ANNOUNCEMENT</x:v>
      </x:c>
      <x:c r="H80" s="18" t="str">
        <x:v>SZSE official announcement: 300209 *ST removal effective 2025-05-13</x:v>
      </x:c>
      <x:c r="I80" s="18" t="str">
        <x:v>https://disc.static.szse.cn/disc/disk03/finalpage/2025-05-09/f2d85e09-1b78-42bc-a128-f1862d6b0fe9.PDF</x:v>
      </x:c>
      <x:c r="J80" s="18" t="str">
        <x:v>核对官方公告是否明确 300209.SZ 自 2025-05-13 起撤销 ST/风险警示；交易日为 2025-05-13，期望 ST 标记为 true。 预期值：ST标记=false</x:v>
      </x:c>
      <x:c r="K80" s="17" t="str"/>
      <x:c r="L80" s="18" t="str"/>
      <x:c r="M80" s="18" t="str"/>
      <x:c r="N80" s="17" t="str"/>
    </x:row>
    <x:row r="81" ht="48" customHeight="1">
      <x:c r="A81" s="17" t="n">
        <x:v>77</x:v>
      </x:c>
      <x:c r="B81" s="18" t="str">
        <x:v>GT-H2-ST-ST_REMOVE-300965-20250506</x:v>
      </x:c>
      <x:c r="C81" s="18" t="str">
        <x:v>AG-080</x:v>
      </x:c>
      <x:c r="D81" s="18" t="str">
        <x:v>ST/风险警示变更</x:v>
      </x:c>
      <x:c r="E81" s="18" t="str">
        <x:v>300965.SZ</x:v>
      </x:c>
      <x:c r="F81" s="19" t="n">
        <x:v>45783</x:v>
      </x:c>
      <x:c r="G81" s="18" t="str">
        <x:v>SZSE_ANNOUNCEMENT</x:v>
      </x:c>
      <x:c r="H81" s="18" t="str">
        <x:v>SZSE official announcement: 300965 *ST removal effective 2025-05-06</x:v>
      </x:c>
      <x:c r="I81" s="18" t="str">
        <x:v>https://disc.static.szse.cn/disc/disk03/finalpage/2025-04-30/d8e3ad5c-377f-4d9c-8d6c-31a510424ff8.PDF</x:v>
      </x:c>
      <x:c r="J81" s="18" t="str">
        <x:v>核对官方公告是否明确 300965.SZ 自 2025-05-06 起撤销 ST/风险警示；交易日为 2025-05-06，期望 ST 标记为 true。 预期值：ST标记=false</x:v>
      </x:c>
      <x:c r="K81" s="17" t="str"/>
      <x:c r="L81" s="18" t="str"/>
      <x:c r="M81" s="18" t="str"/>
      <x:c r="N81" s="17" t="str"/>
    </x:row>
    <x:row r="82" ht="48" customHeight="1">
      <x:c r="A82" s="17" t="n">
        <x:v>78</x:v>
      </x:c>
      <x:c r="B82" s="18" t="str">
        <x:v>GT-H2-ST-STAR_ST_ADD-688282-20240506</x:v>
      </x:c>
      <x:c r="C82" s="18" t="str">
        <x:v>AG-053</x:v>
      </x:c>
      <x:c r="D82" s="18" t="str">
        <x:v>ST/风险警示变更</x:v>
      </x:c>
      <x:c r="E82" s="18" t="str">
        <x:v>688282.SH</x:v>
      </x:c>
      <x:c r="F82" s="19" t="n">
        <x:v>45418</x:v>
      </x:c>
      <x:c r="G82" s="18" t="str">
        <x:v>SSE_ANNOUNCEMENT</x:v>
      </x:c>
      <x:c r="H82" s="18" t="str">
        <x:v>SSE official risk-warning adjustment list: STAR 688282 effective 2024-05-06</x:v>
      </x:c>
      <x:c r="I82" s="18" t="str">
        <x:v>https://www.sse.com.cn/disclosure/magin/announcement/ssereport/c/c_20240430_10753871.shtml</x:v>
      </x:c>
      <x:c r="J82" s="18" t="str">
        <x:v>核对官方公告是否明确 688282.SH 自 2024-05-06 起新增 ST/风险警示；交易日为 2024-05-06，期望 ST 标记为 true。 预期值：ST标记=true</x:v>
      </x:c>
      <x:c r="K82" s="17" t="str"/>
      <x:c r="L82" s="18" t="str"/>
      <x:c r="M82" s="18" t="str"/>
      <x:c r="N82" s="17" t="str"/>
    </x:row>
    <x:row r="83" ht="48" customHeight="1">
      <x:c r="A83" s="17" t="n">
        <x:v>79</x:v>
      </x:c>
      <x:c r="B83" s="18" t="str">
        <x:v>GT-H2-ST-STAR_ST_ADD-688500-20230505</x:v>
      </x:c>
      <x:c r="C83" s="18" t="str">
        <x:v>AG-034</x:v>
      </x:c>
      <x:c r="D83" s="18" t="str">
        <x:v>ST/风险警示变更</x:v>
      </x:c>
      <x:c r="E83" s="18" t="str">
        <x:v>688500.SH</x:v>
      </x:c>
      <x:c r="F83" s="19" t="n">
        <x:v>45051</x:v>
      </x:c>
      <x:c r="G83" s="18" t="str">
        <x:v>SSE_ANNOUNCEMENT</x:v>
      </x:c>
      <x:c r="H83" s="18" t="str">
        <x:v>SSE company announcement: 慧辰股份 risk-warning implementation effective 2023-05-05</x:v>
      </x:c>
      <x:c r="I83" s="18" t="str">
        <x:v>https://static.sse.com.cn/disclosure/listedinfo/announcement/c/new/2023-04-29/688500_20230429_MZM6.pdf</x:v>
      </x:c>
      <x:c r="J83" s="18" t="str">
        <x:v>核对官方公告是否明确 688500.SH 自 2023-05-05 起新增 ST/风险警示；交易日为 2023-05-05，期望 ST 标记为 true。 预期值：ST标记=true</x:v>
      </x:c>
      <x:c r="K83" s="17" t="str"/>
      <x:c r="L83" s="18" t="str"/>
      <x:c r="M83" s="18" t="str"/>
      <x:c r="N83" s="17" t="str"/>
    </x:row>
    <x:row r="84" ht="48" customHeight="1">
      <x:c r="A84" s="17" t="n">
        <x:v>80</x:v>
      </x:c>
      <x:c r="B84" s="18" t="str">
        <x:v>GT-H2-ST-STAR_ST_REMOVE-688500-20240611</x:v>
      </x:c>
      <x:c r="C84" s="18" t="str">
        <x:v>AG-035</x:v>
      </x:c>
      <x:c r="D84" s="18" t="str">
        <x:v>ST/风险警示变更</x:v>
      </x:c>
      <x:c r="E84" s="18" t="str">
        <x:v>688500.SH</x:v>
      </x:c>
      <x:c r="F84" s="19" t="n">
        <x:v>45454</x:v>
      </x:c>
      <x:c r="G84" s="18" t="str">
        <x:v>SSE_ANNOUNCEMENT</x:v>
      </x:c>
      <x:c r="H84" s="18" t="str">
        <x:v>SSE company announcement: 慧辰股份 risk-warning removal effective 2024-06-11</x:v>
      </x:c>
      <x:c r="I84" s="18" t="str">
        <x:v>https://static.sse.com.cn/disclosure/listedinfo/announcement/c/new/2024-06-07/688500_20240607_1TNQ.pdf</x:v>
      </x:c>
      <x:c r="J84" s="18" t="str">
        <x:v>核对官方公告是否明确 688500.SH 自 2024-06-11 起撤销 ST/风险警示；交易日为 2024-06-11，期望 ST 标记为 true。 预期值：ST标记=false</x:v>
      </x:c>
      <x:c r="K84" s="17" t="str"/>
      <x:c r="L84" s="18" t="str"/>
      <x:c r="M84" s="18" t="str"/>
      <x:c r="N84" s="17" t="str"/>
    </x:row>
    <x:row r="85" ht="48" customHeight="1">
      <x:c r="A85" s="17" t="n">
        <x:v>81</x:v>
      </x:c>
      <x:c r="B85" s="18" t="str">
        <x:v>GT-H2-DELIST-000540-20230630</x:v>
      </x:c>
      <x:c r="C85" s="18" t="str">
        <x:v>AG-081</x:v>
      </x:c>
      <x:c r="D85" s="18" t="str">
        <x:v>退市/摘牌</x:v>
      </x:c>
      <x:c r="E85" s="18" t="str">
        <x:v>000540.SZ</x:v>
      </x:c>
      <x:c r="F85" s="19" t="n">
        <x:v>45107</x:v>
      </x:c>
      <x:c r="G85" s="18" t="str">
        <x:v>SZSE_ANNOUNCEMENT</x:v>
      </x:c>
      <x:c r="H85" s="18" t="str">
        <x:v>SZSE official delisting notice: 000540摘牌 2023-06-30</x:v>
      </x:c>
      <x:c r="I85" s="18" t="str">
        <x:v>https://disc.static.szse.cn/disc/disk03/finalpage/2023-06-28/2d0e5c9f-a6d7-4c00-9ac2-bf286ba715b8.PDF</x:v>
      </x:c>
      <x:c r="J85" s="18" t="str">
        <x:v>核对官方退市/终止上市/摘牌文件是否明确 000540.SZ 生效或摘牌日期为 2023-06-30；交易日为 2023-06-30，上市状态应为 3。 预期值：上市状态=3</x:v>
      </x:c>
      <x:c r="K85" s="17" t="str"/>
      <x:c r="L85" s="18" t="str"/>
      <x:c r="M85" s="18" t="str"/>
      <x:c r="N85" s="17" t="str"/>
    </x:row>
    <x:row r="86" ht="48" customHeight="1">
      <x:c r="A86" s="17" t="n">
        <x:v>82</x:v>
      </x:c>
      <x:c r="B86" s="18" t="str">
        <x:v>GT-H2-DELIST-000611-20220628</x:v>
      </x:c>
      <x:c r="C86" s="18" t="str">
        <x:v>AG-082</x:v>
      </x:c>
      <x:c r="D86" s="18" t="str">
        <x:v>退市/摘牌</x:v>
      </x:c>
      <x:c r="E86" s="18" t="str">
        <x:v>000611.SZ</x:v>
      </x:c>
      <x:c r="F86" s="19" t="n">
        <x:v>44740</x:v>
      </x:c>
      <x:c r="G86" s="18" t="str">
        <x:v>SZSE_ANNOUNCEMENT</x:v>
      </x:c>
      <x:c r="H86" s="18" t="str">
        <x:v>SZSE official delisting notice: 000611摘牌 2022-06-28</x:v>
      </x:c>
      <x:c r="I86" s="18" t="str">
        <x:v>https://disc.static.szse.cn/disc/disk03/finalpage/2022-06-28/0df4c2ca-295b-4581-a172-094d8cae8425.PDF</x:v>
      </x:c>
      <x:c r="J86" s="18" t="str">
        <x:v>核对官方退市/终止上市/摘牌文件是否明确 000611.SZ 生效或摘牌日期为 2022-06-28；交易日为 2022-06-28，上市状态应为 3。 预期值：上市状态=3</x:v>
      </x:c>
      <x:c r="K86" s="17" t="str"/>
      <x:c r="L86" s="18" t="str"/>
      <x:c r="M86" s="18" t="str"/>
      <x:c r="N86" s="17" t="str"/>
    </x:row>
    <x:row r="87" ht="48" customHeight="1">
      <x:c r="A87" s="17" t="n">
        <x:v>83</x:v>
      </x:c>
      <x:c r="B87" s="18" t="str">
        <x:v>GT-H2-DELIST-000982-20240812</x:v>
      </x:c>
      <x:c r="C87" s="18" t="str">
        <x:v>AG-083</x:v>
      </x:c>
      <x:c r="D87" s="18" t="str">
        <x:v>退市/摘牌</x:v>
      </x:c>
      <x:c r="E87" s="18" t="str">
        <x:v>000982.SZ</x:v>
      </x:c>
      <x:c r="F87" s="19" t="n">
        <x:v>45516</x:v>
      </x:c>
      <x:c r="G87" s="18" t="str">
        <x:v>SZSE_ANNOUNCEMENT</x:v>
      </x:c>
      <x:c r="H87" s="18" t="str">
        <x:v>SZSE official delisting notice: 000982摘牌 2024-08-12</x:v>
      </x:c>
      <x:c r="I87" s="18" t="str">
        <x:v>https://disc.static.szse.cn/disc/disk03/finalpage/2024-08-12/c552bbd6-8940-49ef-bbd0-c2c83a3ece6d.PDF</x:v>
      </x:c>
      <x:c r="J87" s="18" t="str">
        <x:v>核对官方退市/终止上市/摘牌文件是否明确 000982.SZ 生效或摘牌日期为 2024-08-12；交易日为 2024-08-12，上市状态应为 3。 预期值：上市状态=3</x:v>
      </x:c>
      <x:c r="K87" s="17" t="str"/>
      <x:c r="L87" s="18" t="str"/>
      <x:c r="M87" s="18" t="str"/>
      <x:c r="N87" s="17" t="str"/>
    </x:row>
    <x:row r="88" ht="48" customHeight="1">
      <x:c r="A88" s="17" t="n">
        <x:v>84</x:v>
      </x:c>
      <x:c r="B88" s="18" t="str">
        <x:v>GT-H2-DELIST-002118-20230804</x:v>
      </x:c>
      <x:c r="C88" s="18" t="str">
        <x:v>AG-084</x:v>
      </x:c>
      <x:c r="D88" s="18" t="str">
        <x:v>退市/摘牌</x:v>
      </x:c>
      <x:c r="E88" s="18" t="str">
        <x:v>002118.SZ</x:v>
      </x:c>
      <x:c r="F88" s="19" t="n">
        <x:v>45142</x:v>
      </x:c>
      <x:c r="G88" s="18" t="str">
        <x:v>SZSE_ANNOUNCEMENT</x:v>
      </x:c>
      <x:c r="H88" s="18" t="str">
        <x:v>SZSE official delisting notice: 002118摘牌 2023-08-04</x:v>
      </x:c>
      <x:c r="I88" s="18" t="str">
        <x:v>http://disc.static.szse.cn/disc/disk03/finalpage/2023-07-31/44450b39-f154-45b0-a05f-4878f0c55261.PDF</x:v>
      </x:c>
      <x:c r="J88" s="18" t="str">
        <x:v>核对官方退市/终止上市/摘牌文件是否明确 002118.SZ 生效或摘牌日期为 2023-08-04；交易日为 2023-08-04，上市状态应为 3。 预期值：上市状态=3</x:v>
      </x:c>
      <x:c r="K88" s="17" t="str"/>
      <x:c r="L88" s="18" t="str"/>
      <x:c r="M88" s="18" t="str"/>
      <x:c r="N88" s="17" t="str"/>
    </x:row>
    <x:row r="89" ht="48" customHeight="1">
      <x:c r="A89" s="17" t="n">
        <x:v>85</x:v>
      </x:c>
      <x:c r="B89" s="18" t="str">
        <x:v>GT-H2-DELIST-002610-20240812</x:v>
      </x:c>
      <x:c r="C89" s="18" t="str">
        <x:v>AG-085</x:v>
      </x:c>
      <x:c r="D89" s="18" t="str">
        <x:v>退市/摘牌</x:v>
      </x:c>
      <x:c r="E89" s="18" t="str">
        <x:v>002610.SZ</x:v>
      </x:c>
      <x:c r="F89" s="19" t="n">
        <x:v>45516</x:v>
      </x:c>
      <x:c r="G89" s="18" t="str">
        <x:v>SZSE_ANNOUNCEMENT</x:v>
      </x:c>
      <x:c r="H89" s="18" t="str">
        <x:v>SZSE official delisting notice: 002610摘牌 2024-08-12</x:v>
      </x:c>
      <x:c r="I89" s="18" t="str">
        <x:v>https://disc.static.szse.cn/disc/disk03/finalpage/2024-08-09/1dc535d8-fbe2-42bb-bab6-cd90d0e12e64.PDF</x:v>
      </x:c>
      <x:c r="J89" s="18" t="str">
        <x:v>核对官方退市/终止上市/摘牌文件是否明确 002610.SZ 生效或摘牌日期为 2024-08-12；交易日为 2024-08-12，上市状态应为 3。 预期值：上市状态=3</x:v>
      </x:c>
      <x:c r="K89" s="17" t="str"/>
      <x:c r="L89" s="18" t="str"/>
      <x:c r="M89" s="18" t="str"/>
      <x:c r="N89" s="17" t="str"/>
    </x:row>
    <x:row r="90" ht="48" customHeight="1">
      <x:c r="A90" s="17" t="n">
        <x:v>86</x:v>
      </x:c>
      <x:c r="B90" s="18" t="str">
        <x:v>GT-H2-DELIST-300064-20220627</x:v>
      </x:c>
      <x:c r="C90" s="18" t="str">
        <x:v>AG-086</x:v>
      </x:c>
      <x:c r="D90" s="18" t="str">
        <x:v>退市/摘牌</x:v>
      </x:c>
      <x:c r="E90" s="18" t="str">
        <x:v>300064.SZ</x:v>
      </x:c>
      <x:c r="F90" s="19" t="n">
        <x:v>44739</x:v>
      </x:c>
      <x:c r="G90" s="18" t="str">
        <x:v>SZSE_ANNOUNCEMENT</x:v>
      </x:c>
      <x:c r="H90" s="18" t="str">
        <x:v>SZSE official delisting notice: 300064摘牌 2022-06-27</x:v>
      </x:c>
      <x:c r="I90" s="18" t="str">
        <x:v>https://disc.static.szse.cn/disc/disk03/finalpage/2022-06-27/286a098f-56a5-4a5b-8e0d-1953eebf9f2f.PDF</x:v>
      </x:c>
      <x:c r="J90" s="18" t="str">
        <x:v>核对官方退市/终止上市/摘牌文件是否明确 300064.SZ 生效或摘牌日期为 2022-06-27；交易日为 2022-06-27，上市状态应为 3。 预期值：上市状态=3</x:v>
      </x:c>
      <x:c r="K90" s="17" t="str"/>
      <x:c r="L90" s="18" t="str"/>
      <x:c r="M90" s="18" t="str"/>
      <x:c r="N90" s="17" t="str"/>
    </x:row>
    <x:row r="91" ht="48" customHeight="1">
      <x:c r="A91" s="17" t="n">
        <x:v>87</x:v>
      </x:c>
      <x:c r="B91" s="18" t="str">
        <x:v>GT-H2-DELIST-300208-20250721</x:v>
      </x:c>
      <x:c r="C91" s="18" t="str">
        <x:v>AG-087</x:v>
      </x:c>
      <x:c r="D91" s="18" t="str">
        <x:v>退市/摘牌</x:v>
      </x:c>
      <x:c r="E91" s="18" t="str">
        <x:v>300208.SZ</x:v>
      </x:c>
      <x:c r="F91" s="19" t="n">
        <x:v>45859</x:v>
      </x:c>
      <x:c r="G91" s="18" t="str">
        <x:v>SZSE_ANNOUNCEMENT</x:v>
      </x:c>
      <x:c r="H91" s="18" t="str">
        <x:v>SZSE official delisting notice: 300208摘牌 2025-07-21</x:v>
      </x:c>
      <x:c r="I91" s="18" t="str">
        <x:v>https://disc.static.szse.cn/disc/disk03/finalpage/2025-07-18/ff3f8315-18fd-48e8-a473-545bcb5a0a67.PDF</x:v>
      </x:c>
      <x:c r="J91" s="18" t="str">
        <x:v>核对官方退市/终止上市/摘牌文件是否明确 300208.SZ 生效或摘牌日期为 2025-07-21；交易日为 2025-07-21，上市状态应为 3。 预期值：上市状态=3</x:v>
      </x:c>
      <x:c r="K91" s="17" t="str"/>
      <x:c r="L91" s="18" t="str"/>
      <x:c r="M91" s="18" t="str"/>
      <x:c r="N91" s="17" t="str"/>
    </x:row>
    <x:row r="92" ht="48" customHeight="1">
      <x:c r="A92" s="17" t="n">
        <x:v>88</x:v>
      </x:c>
      <x:c r="B92" s="18" t="str">
        <x:v>GT-H2-DELIST-300273-20230706</x:v>
      </x:c>
      <x:c r="C92" s="18" t="str">
        <x:v>AG-088</x:v>
      </x:c>
      <x:c r="D92" s="18" t="str">
        <x:v>退市/摘牌</x:v>
      </x:c>
      <x:c r="E92" s="18" t="str">
        <x:v>300273.SZ</x:v>
      </x:c>
      <x:c r="F92" s="19" t="n">
        <x:v>45113</x:v>
      </x:c>
      <x:c r="G92" s="18" t="str">
        <x:v>SZSE_ANNOUNCEMENT</x:v>
      </x:c>
      <x:c r="H92" s="18" t="str">
        <x:v>SZSE official delisting notice: 300273摘牌 2023-07-06</x:v>
      </x:c>
      <x:c r="I92" s="18" t="str">
        <x:v>https://disc.static.szse.cn/disc/disk03/finalpage/2023-07-05/776889cd-c8c1-48fb-b1a4-d0cf4819e8fd.PDF</x:v>
      </x:c>
      <x:c r="J92" s="18" t="str">
        <x:v>核对官方退市/终止上市/摘牌文件是否明确 300273.SZ 生效或摘牌日期为 2023-07-06；交易日为 2023-07-06，上市状态应为 3。 预期值：上市状态=3</x:v>
      </x:c>
      <x:c r="K92" s="17" t="str"/>
      <x:c r="L92" s="18" t="str"/>
      <x:c r="M92" s="18" t="str"/>
      <x:c r="N92" s="17" t="str"/>
    </x:row>
    <x:row r="93" ht="48" customHeight="1">
      <x:c r="A93" s="17" t="n">
        <x:v>89</x:v>
      </x:c>
      <x:c r="B93" s="18" t="str">
        <x:v>GT-H2-DELIST-600068-20210913</x:v>
      </x:c>
      <x:c r="C93" s="18" t="str">
        <x:v>AG-041</x:v>
      </x:c>
      <x:c r="D93" s="18" t="str">
        <x:v>退市/摘牌</x:v>
      </x:c>
      <x:c r="E93" s="18" t="str">
        <x:v>600068.SH</x:v>
      </x:c>
      <x:c r="F93" s="19" t="n">
        <x:v>44452</x:v>
      </x:c>
      <x:c r="G93" s="18" t="str">
        <x:v>SSE_ANNOUNCEMENT</x:v>
      </x:c>
      <x:c r="H93" s="18" t="str">
        <x:v>SSE official delisting notice: 600068终止上市 effective 2021-09-13</x:v>
      </x:c>
      <x:c r="I93" s="18" t="str">
        <x:v>http://www.sse.com.cn/disclosure/announcement/listing/stock/c/c_20210909_82957014.shtml</x:v>
      </x:c>
      <x:c r="J93" s="18" t="str">
        <x:v>核对官方退市/终止上市/摘牌文件是否明确 600068.SH 生效或摘牌日期为 2021-09-13；交易日为 2021-09-13，上市状态应为 3。 预期值：上市状态=3</x:v>
      </x:c>
      <x:c r="K93" s="17" t="str"/>
      <x:c r="L93" s="18" t="str"/>
      <x:c r="M93" s="18" t="str"/>
      <x:c r="N93" s="17" t="str"/>
    </x:row>
    <x:row r="94" ht="48" customHeight="1">
      <x:c r="A94" s="17" t="n">
        <x:v>90</x:v>
      </x:c>
      <x:c r="B94" s="18" t="str">
        <x:v>GT-H2-DELIST-600093-20220623</x:v>
      </x:c>
      <x:c r="C94" s="18" t="str">
        <x:v>AG-042</x:v>
      </x:c>
      <x:c r="D94" s="18" t="str">
        <x:v>退市/摘牌</x:v>
      </x:c>
      <x:c r="E94" s="18" t="str">
        <x:v>600093.SH</x:v>
      </x:c>
      <x:c r="F94" s="19" t="n">
        <x:v>44735</x:v>
      </x:c>
      <x:c r="G94" s="18" t="str">
        <x:v>SSE_ANNOUNCEMENT</x:v>
      </x:c>
      <x:c r="H94" s="18" t="str">
        <x:v>SSE official delisting notice: 600093摘牌 2022-06-23</x:v>
      </x:c>
      <x:c r="I94" s="18" t="str">
        <x:v>http://www.sse.com.cn/disclosure/announcement/listing/stock/c/c_20220616_85759277.shtml</x:v>
      </x:c>
      <x:c r="J94" s="18" t="str">
        <x:v>核对官方退市/终止上市/摘牌文件是否明确 600093.SH 生效或摘牌日期为 2022-06-23；交易日为 2022-06-23，上市状态应为 3。 预期值：上市状态=3</x:v>
      </x:c>
      <x:c r="K94" s="17" t="str"/>
      <x:c r="L94" s="18" t="str"/>
      <x:c r="M94" s="18" t="str"/>
      <x:c r="N94" s="17" t="str"/>
    </x:row>
    <x:row r="95" ht="48" customHeight="1">
      <x:c r="A95" s="17" t="n">
        <x:v>91</x:v>
      </x:c>
      <x:c r="B95" s="18" t="str">
        <x:v>GT-H2-DELIST-600145-20220428</x:v>
      </x:c>
      <x:c r="C95" s="18" t="str">
        <x:v>AG-043</x:v>
      </x:c>
      <x:c r="D95" s="18" t="str">
        <x:v>退市/摘牌</x:v>
      </x:c>
      <x:c r="E95" s="18" t="str">
        <x:v>600145.SH</x:v>
      </x:c>
      <x:c r="F95" s="19" t="n">
        <x:v>44679</x:v>
      </x:c>
      <x:c r="G95" s="18" t="str">
        <x:v>SSE_ANNOUNCEMENT</x:v>
      </x:c>
      <x:c r="H95" s="18" t="str">
        <x:v>SSE official delisting notice: 600145摘牌 2022-04-28</x:v>
      </x:c>
      <x:c r="I95" s="18" t="str">
        <x:v>https://www.sse.com.cn/disclosure/announcement/listing/stock/c/c_20220421_84964449.shtml</x:v>
      </x:c>
      <x:c r="J95" s="18" t="str">
        <x:v>核对官方退市/终止上市/摘牌文件是否明确 600145.SH 生效或摘牌日期为 2022-04-28；交易日为 2022-04-28，上市状态应为 3。 预期值：上市状态=3</x:v>
      </x:c>
      <x:c r="K95" s="17" t="str"/>
      <x:c r="L95" s="18" t="str"/>
      <x:c r="M95" s="18" t="str"/>
      <x:c r="N95" s="17" t="str"/>
    </x:row>
    <x:row r="96" ht="48" customHeight="1">
      <x:c r="A96" s="17" t="n">
        <x:v>92</x:v>
      </x:c>
      <x:c r="B96" s="18" t="str">
        <x:v>GT-H2-DELIST-600190-20250725</x:v>
      </x:c>
      <x:c r="C96" s="18" t="str">
        <x:v>AG-044</x:v>
      </x:c>
      <x:c r="D96" s="18" t="str">
        <x:v>退市/摘牌</x:v>
      </x:c>
      <x:c r="E96" s="18" t="str">
        <x:v>600190.SH</x:v>
      </x:c>
      <x:c r="F96" s="19" t="n">
        <x:v>45863</x:v>
      </x:c>
      <x:c r="G96" s="18" t="str">
        <x:v>SSE_ANNOUNCEMENT</x:v>
      </x:c>
      <x:c r="H96" s="18" t="str">
        <x:v>SSE official delisting notice: 600190摘牌 2025-07-25</x:v>
      </x:c>
      <x:c r="I96" s="18" t="str">
        <x:v>https://www.sse.com.cn/disclosure/announcement/listing/stock/c/c_20250718_10785880.shtml</x:v>
      </x:c>
      <x:c r="J96" s="18" t="str">
        <x:v>核对官方退市/终止上市/摘牌文件是否明确 600190.SH 生效或摘牌日期为 2025-07-25；交易日为 2025-07-25，上市状态应为 3。 预期值：上市状态=3</x:v>
      </x:c>
      <x:c r="K96" s="17" t="str"/>
      <x:c r="L96" s="18" t="str"/>
      <x:c r="M96" s="18" t="str"/>
      <x:c r="N96" s="17" t="str"/>
    </x:row>
    <x:row r="97" ht="48" customHeight="1">
      <x:c r="A97" s="17" t="n">
        <x:v>93</x:v>
      </x:c>
      <x:c r="B97" s="18" t="str">
        <x:v>GT-H2-DELIST-600225-20250306</x:v>
      </x:c>
      <x:c r="C97" s="18" t="str">
        <x:v>AG-045</x:v>
      </x:c>
      <x:c r="D97" s="18" t="str">
        <x:v>退市/摘牌</x:v>
      </x:c>
      <x:c r="E97" s="18" t="str">
        <x:v>600225.SH</x:v>
      </x:c>
      <x:c r="F97" s="19" t="n">
        <x:v>45722</x:v>
      </x:c>
      <x:c r="G97" s="18" t="str">
        <x:v>SSE_ANNOUNCEMENT</x:v>
      </x:c>
      <x:c r="H97" s="18" t="str">
        <x:v>SSE official delisting notice: 600225摘牌 2025-03-06</x:v>
      </x:c>
      <x:c r="I97" s="18" t="str">
        <x:v>https://www.sse.com.cn/disclosure/announcement/listing/stock/c/c_20250227_10773066.shtml</x:v>
      </x:c>
      <x:c r="J97" s="18" t="str">
        <x:v>核对官方退市/终止上市/摘牌文件是否明确 600225.SH 生效或摘牌日期为 2025-03-06；交易日为 2025-03-06，上市状态应为 3。 预期值：上市状态=3</x:v>
      </x:c>
      <x:c r="K97" s="17" t="str"/>
      <x:c r="L97" s="18" t="str"/>
      <x:c r="M97" s="18" t="str"/>
      <x:c r="N97" s="17" t="str"/>
    </x:row>
    <x:row r="98" ht="48" customHeight="1">
      <x:c r="A98" s="17" t="n">
        <x:v>94</x:v>
      </x:c>
      <x:c r="B98" s="18" t="str">
        <x:v>GT-H2-DELIST-600421-20260626</x:v>
      </x:c>
      <x:c r="C98" s="18" t="str">
        <x:v>AG-046</x:v>
      </x:c>
      <x:c r="D98" s="18" t="str">
        <x:v>退市/摘牌</x:v>
      </x:c>
      <x:c r="E98" s="18" t="str">
        <x:v>600421.SH</x:v>
      </x:c>
      <x:c r="F98" s="19" t="n">
        <x:v>46199</x:v>
      </x:c>
      <x:c r="G98" s="18" t="str">
        <x:v>SSE_ANNOUNCEMENT</x:v>
      </x:c>
      <x:c r="H98" s="18" t="str">
        <x:v>SSE official delisting notice: 600421摘牌 2026-06-26</x:v>
      </x:c>
      <x:c r="I98" s="18" t="str">
        <x:v>https://www.sse.com.cn/disclosure/announcement/listing/stock/c/c_20260622_10823158.shtml</x:v>
      </x:c>
      <x:c r="J98" s="18" t="str">
        <x:v>核对官方退市/终止上市/摘牌文件是否明确 600421.SH 生效或摘牌日期为 2026-06-26；交易日为 2026-06-26，上市状态应为 3。 预期值：上市状态=3</x:v>
      </x:c>
      <x:c r="K98" s="17" t="str"/>
      <x:c r="L98" s="18" t="str"/>
      <x:c r="M98" s="18" t="str"/>
      <x:c r="N98" s="17" t="str"/>
    </x:row>
    <x:row r="99" ht="48" customHeight="1">
      <x:c r="A99" s="17" t="n">
        <x:v>95</x:v>
      </x:c>
      <x:c r="B99" s="18" t="str">
        <x:v>GT-H2-DELIST-600462-20250721</x:v>
      </x:c>
      <x:c r="C99" s="18" t="str">
        <x:v>AG-047</x:v>
      </x:c>
      <x:c r="D99" s="18" t="str">
        <x:v>退市/摘牌</x:v>
      </x:c>
      <x:c r="E99" s="18" t="str">
        <x:v>600462.SH</x:v>
      </x:c>
      <x:c r="F99" s="19" t="n">
        <x:v>45859</x:v>
      </x:c>
      <x:c r="G99" s="18" t="str">
        <x:v>SSE_ANNOUNCEMENT</x:v>
      </x:c>
      <x:c r="H99" s="18" t="str">
        <x:v>SSE official delisting notice: 600462摘牌 2025-07-21</x:v>
      </x:c>
      <x:c r="I99" s="18" t="str">
        <x:v>https://www.sse.com.cn/disclosure/announcement/listing/stock/c/c_20250714_10784844.shtml</x:v>
      </x:c>
      <x:c r="J99" s="18" t="str">
        <x:v>核对官方退市/终止上市/摘牌文件是否明确 600462.SH 生效或摘牌日期为 2025-07-21；交易日为 2025-07-21，上市状态应为 3。 预期值：上市状态=3</x:v>
      </x:c>
      <x:c r="K99" s="17" t="str"/>
      <x:c r="L99" s="18" t="str"/>
      <x:c r="M99" s="18" t="str"/>
      <x:c r="N99" s="17" t="str"/>
    </x:row>
    <x:row r="100" ht="48" customHeight="1">
      <x:c r="A100" s="17" t="n">
        <x:v>96</x:v>
      </x:c>
      <x:c r="B100" s="18" t="str">
        <x:v>GT-H2-DELIST-600695-20220614</x:v>
      </x:c>
      <x:c r="C100" s="18" t="str">
        <x:v>AG-048</x:v>
      </x:c>
      <x:c r="D100" s="18" t="str">
        <x:v>退市/摘牌</x:v>
      </x:c>
      <x:c r="E100" s="18" t="str">
        <x:v>600695.SH</x:v>
      </x:c>
      <x:c r="F100" s="19" t="n">
        <x:v>44726</x:v>
      </x:c>
      <x:c r="G100" s="18" t="str">
        <x:v>SSE_ANNOUNCEMENT</x:v>
      </x:c>
      <x:c r="H100" s="18" t="str">
        <x:v>SSE official delisting notice: 600695摘牌 2022-06-14</x:v>
      </x:c>
      <x:c r="I100" s="18" t="str">
        <x:v>http://www.sse.com.cn/disclosure/announcement/listing/stock/c/c_20220607_85645623.shtml</x:v>
      </x:c>
      <x:c r="J100" s="18" t="str">
        <x:v>核对官方退市/终止上市/摘牌文件是否明确 600695.SH 生效或摘牌日期为 2022-06-14；交易日为 2022-06-14，上市状态应为 3。 预期值：上市状态=3</x:v>
      </x:c>
      <x:c r="K100" s="17" t="str"/>
      <x:c r="L100" s="18" t="str"/>
      <x:c r="M100" s="18" t="str"/>
      <x:c r="N100" s="17" t="str"/>
    </x:row>
    <x:row r="101" ht="48" customHeight="1">
      <x:c r="A101" s="17" t="n">
        <x:v>97</x:v>
      </x:c>
      <x:c r="B101" s="18" t="str">
        <x:v>GT-H2-DELIST-600781-20230628</x:v>
      </x:c>
      <x:c r="C101" s="18" t="str">
        <x:v>AG-049</x:v>
      </x:c>
      <x:c r="D101" s="18" t="str">
        <x:v>退市/摘牌</x:v>
      </x:c>
      <x:c r="E101" s="18" t="str">
        <x:v>600781.SH</x:v>
      </x:c>
      <x:c r="F101" s="19" t="n">
        <x:v>45105</x:v>
      </x:c>
      <x:c r="G101" s="18" t="str">
        <x:v>SSE_ANNOUNCEMENT</x:v>
      </x:c>
      <x:c r="H101" s="18" t="str">
        <x:v>SSE official delisting notice: 600781摘牌 2023-06-28</x:v>
      </x:c>
      <x:c r="I101" s="18" t="str">
        <x:v>http://www.sse.com.cn/disclosure/announcement/listing/stock/c/c_20230619_90006973.shtml</x:v>
      </x:c>
      <x:c r="J101" s="18" t="str">
        <x:v>核对官方退市/终止上市/摘牌文件是否明确 600781.SH 生效或摘牌日期为 2023-06-28；交易日为 2023-06-28，上市状态应为 3。 预期值：上市状态=3</x:v>
      </x:c>
      <x:c r="K101" s="17" t="str"/>
      <x:c r="L101" s="18" t="str"/>
      <x:c r="M101" s="18" t="str"/>
      <x:c r="N101" s="17" t="str"/>
    </x:row>
    <x:row r="102" ht="48" customHeight="1">
      <x:c r="A102" s="17" t="n">
        <x:v>98</x:v>
      </x:c>
      <x:c r="B102" s="18" t="str">
        <x:v>GT-H2-DELIST-600837-20250304</x:v>
      </x:c>
      <x:c r="C102" s="18" t="str">
        <x:v>AG-039</x:v>
      </x:c>
      <x:c r="D102" s="18" t="str">
        <x:v>退市/摘牌</x:v>
      </x:c>
      <x:c r="E102" s="18" t="str">
        <x:v>600837.SH</x:v>
      </x:c>
      <x:c r="F102" s="19" t="n">
        <x:v>45720</x:v>
      </x:c>
      <x:c r="G102" s="18" t="str">
        <x:v>SSE_ANNOUNCEMENT</x:v>
      </x:c>
      <x:c r="H102" s="18" t="str">
        <x:v>SSE official delisting decision: 600837终止上市 effective 2025-03-04</x:v>
      </x:c>
      <x:c r="I102" s="18" t="str">
        <x:v>https://www.sse.com.cn/disclosure/announcement/listing/stock/c/c_20250226_10773005.shtml</x:v>
      </x:c>
      <x:c r="J102" s="18" t="str">
        <x:v>核对官方退市/终止上市/摘牌文件是否明确 600837.SH 生效或摘牌日期为 2025-03-04；交易日为 2025-03-04，上市状态应为 3。 预期值：上市状态=3</x:v>
      </x:c>
      <x:c r="K102" s="17" t="str"/>
      <x:c r="L102" s="18" t="str"/>
      <x:c r="M102" s="18" t="str"/>
      <x:c r="N102" s="17" t="str"/>
    </x:row>
    <x:row r="103" ht="48" customHeight="1">
      <x:c r="A103" s="17" t="n">
        <x:v>99</x:v>
      </x:c>
      <x:c r="B103" s="18" t="str">
        <x:v>GT-H2-DELIST-601558-20200702</x:v>
      </x:c>
      <x:c r="C103" s="18" t="str">
        <x:v>AG-050</x:v>
      </x:c>
      <x:c r="D103" s="18" t="str">
        <x:v>退市/摘牌</x:v>
      </x:c>
      <x:c r="E103" s="18" t="str">
        <x:v>601558.SH</x:v>
      </x:c>
      <x:c r="F103" s="19" t="n">
        <x:v>44014</x:v>
      </x:c>
      <x:c r="G103" s="18" t="str">
        <x:v>SSE_ANNOUNCEMENT</x:v>
      </x:c>
      <x:c r="H103" s="18" t="str">
        <x:v>SSE official delisting notice: 601558摘牌 2020-07-02</x:v>
      </x:c>
      <x:c r="I103" s="18" t="str">
        <x:v>http://www.sse.com.cn/disclosure/announcement/listing/stock/c/c_20200623_78480676.shtml</x:v>
      </x:c>
      <x:c r="J103" s="18" t="str">
        <x:v>核对官方退市/终止上市/摘牌文件是否明确 601558.SH 生效或摘牌日期为 2020-07-02；交易日为 2020-07-02，上市状态应为 3。 预期值：上市状态=3</x:v>
      </x:c>
      <x:c r="K103" s="17" t="str"/>
      <x:c r="L103" s="18" t="str"/>
      <x:c r="M103" s="18" t="str"/>
      <x:c r="N103" s="17" t="str"/>
    </x:row>
    <x:row r="104" ht="48" customHeight="1">
      <x:c r="A104" s="17" t="n">
        <x:v>100</x:v>
      </x:c>
      <x:c r="B104" s="18" t="str">
        <x:v>GT-H2-DELIST-601989-20250905</x:v>
      </x:c>
      <x:c r="C104" s="18" t="str">
        <x:v>AG-040</x:v>
      </x:c>
      <x:c r="D104" s="18" t="str">
        <x:v>退市/摘牌</x:v>
      </x:c>
      <x:c r="E104" s="18" t="str">
        <x:v>601989.SH</x:v>
      </x:c>
      <x:c r="F104" s="19" t="n">
        <x:v>45905</x:v>
      </x:c>
      <x:c r="G104" s="18" t="str">
        <x:v>SSE_ANNOUNCEMENT</x:v>
      </x:c>
      <x:c r="H104" s="18" t="str">
        <x:v>SSE official delisting decision: 601989终止上市 effective 2025-09-05</x:v>
      </x:c>
      <x:c r="I104" s="18" t="str">
        <x:v>https://www.sse.com.cn/disclosure/announcement/listing/stock/c/c_20250829_10790128.shtml</x:v>
      </x:c>
      <x:c r="J104" s="18" t="str">
        <x:v>核对官方退市/终止上市/摘牌文件是否明确 601989.SH 生效或摘牌日期为 2025-09-05；交易日为 2025-09-05，上市状态应为 3。 预期值：上市状态=3</x:v>
      </x:c>
      <x:c r="K104" s="17" t="str"/>
      <x:c r="L104" s="18" t="str"/>
      <x:c r="M104" s="18" t="str"/>
      <x:c r="N104" s="17" t="str"/>
    </x:row>
    <x:row r="105" ht="48" customHeight="1">
      <x:c r="A105" s="17" t="n">
        <x:v>101</x:v>
      </x:c>
      <x:c r="B105" s="18" t="str">
        <x:v>GT-CA-000002-20220825</x:v>
      </x:c>
      <x:c r="C105" s="18" t="str">
        <x:v>AG-002</x:v>
      </x:c>
      <x:c r="D105" s="18" t="str">
        <x:v>分红除权除息</x:v>
      </x:c>
      <x:c r="E105" s="18" t="str">
        <x:v>000002.SZ</x:v>
      </x:c>
      <x:c r="F105" s="19" t="n">
        <x:v>44798</x:v>
      </x:c>
      <x:c r="G105" s="18" t="str">
        <x:v>COMPANY_ANNOUNCEMENT</x:v>
      </x:c>
      <x:c r="H105" s="18" t="str">
        <x:v>CNINFO 000002 2021 annual profit-distribution implementation announcement; ex-date 2022-08-25</x:v>
      </x:c>
      <x:c r="I105" s="18" t="str">
        <x:v>https://static.cninfo.com.cn/finalpage/2022-08-18/1214319792.PDF</x:v>
      </x:c>
      <x:c r="J105" s="18" t="str">
        <x:v>核对发行人利润分配实施公告是否明确 000002.SZ 除权除息日为 2022-08-25；期望除权除息标记为 true。 预期值：除权除息标记=true</x:v>
      </x:c>
      <x:c r="K105" s="17" t="str"/>
      <x:c r="L105" s="18" t="str"/>
      <x:c r="M105" s="18" t="str"/>
      <x:c r="N105" s="17" t="str"/>
    </x:row>
    <x:row r="106" ht="48" customHeight="1">
      <x:c r="A106" s="17" t="n">
        <x:v>102</x:v>
      </x:c>
      <x:c r="B106" s="18" t="str">
        <x:v>GT-CA-000002-20230825</x:v>
      </x:c>
      <x:c r="C106" s="18" t="str">
        <x:v>AG-003</x:v>
      </x:c>
      <x:c r="D106" s="18" t="str">
        <x:v>分红除权除息</x:v>
      </x:c>
      <x:c r="E106" s="18" t="str">
        <x:v>000002.SZ</x:v>
      </x:c>
      <x:c r="F106" s="19" t="n">
        <x:v>45163</x:v>
      </x:c>
      <x:c r="G106" s="18" t="str">
        <x:v>COMPANY_ANNOUNCEMENT</x:v>
      </x:c>
      <x:c r="H106" s="18" t="str">
        <x:v>CNINFO 000002 2022 annual profit-distribution implementation announcement; ex-date 2023-08-25</x:v>
      </x:c>
      <x:c r="I106" s="18" t="str">
        <x:v>https://static.cninfo.com.cn/finalpage/2023-08-21/1217577962.PDF</x:v>
      </x:c>
      <x:c r="J106" s="18" t="str">
        <x:v>核对发行人利润分配实施公告是否明确 000002.SZ 除权除息日为 2023-08-25；期望除权除息标记为 true。 预期值：除权除息标记=true</x:v>
      </x:c>
      <x:c r="K106" s="17" t="str"/>
      <x:c r="L106" s="18" t="str"/>
      <x:c r="M106" s="18" t="str"/>
      <x:c r="N106" s="17" t="str"/>
    </x:row>
    <x:row r="107" ht="48" customHeight="1">
      <x:c r="A107" s="17" t="n">
        <x:v>103</x:v>
      </x:c>
      <x:c r="B107" s="18" t="str">
        <x:v>GT-CA-000333-20220602</x:v>
      </x:c>
      <x:c r="C107" s="18" t="str">
        <x:v>AG-004</x:v>
      </x:c>
      <x:c r="D107" s="18" t="str">
        <x:v>分红除权除息</x:v>
      </x:c>
      <x:c r="E107" s="18" t="str">
        <x:v>000333.SZ</x:v>
      </x:c>
      <x:c r="F107" s="19" t="n">
        <x:v>44714</x:v>
      </x:c>
      <x:c r="G107" s="18" t="str">
        <x:v>COMPANY_ANNOUNCEMENT</x:v>
      </x:c>
      <x:c r="H107" s="18" t="str">
        <x:v>CNINFO 000333 2021 annual profit-distribution implementation announcement; ex-date 2022-06-02</x:v>
      </x:c>
      <x:c r="I107" s="18" t="str">
        <x:v>https://static.cninfo.com.cn/finalpage/2022-05-27/1213516434.PDF</x:v>
      </x:c>
      <x:c r="J107" s="18" t="str">
        <x:v>核对发行人利润分配实施公告是否明确 000333.SZ 除权除息日为 2022-06-02；期望除权除息标记为 true。 预期值：除权除息标记=true</x:v>
      </x:c>
      <x:c r="K107" s="17" t="str"/>
      <x:c r="L107" s="18" t="str"/>
      <x:c r="M107" s="18" t="str"/>
      <x:c r="N107" s="17" t="str"/>
    </x:row>
    <x:row r="108" ht="48" customHeight="1">
      <x:c r="A108" s="17" t="n">
        <x:v>104</x:v>
      </x:c>
      <x:c r="B108" s="18" t="str">
        <x:v>GT-CA-000333-20230601</x:v>
      </x:c>
      <x:c r="C108" s="18" t="str">
        <x:v>AG-005</x:v>
      </x:c>
      <x:c r="D108" s="18" t="str">
        <x:v>分红除权除息</x:v>
      </x:c>
      <x:c r="E108" s="18" t="str">
        <x:v>000333.SZ</x:v>
      </x:c>
      <x:c r="F108" s="19" t="n">
        <x:v>45078</x:v>
      </x:c>
      <x:c r="G108" s="18" t="str">
        <x:v>COMPANY_ANNOUNCEMENT</x:v>
      </x:c>
      <x:c r="H108" s="18" t="str">
        <x:v>CNINFO 000333 2022 annual profit-distribution implementation announcement; ex-date 2023-06-01</x:v>
      </x:c>
      <x:c r="I108" s="18" t="str">
        <x:v>https://static.cninfo.com.cn/finalpage/2023-05-25/1216898601.PDF</x:v>
      </x:c>
      <x:c r="J108" s="18" t="str">
        <x:v>核对发行人利润分配实施公告是否明确 000333.SZ 除权除息日为 2023-06-01；期望除权除息标记为 true。 预期值：除权除息标记=true</x:v>
      </x:c>
      <x:c r="K108" s="17" t="str"/>
      <x:c r="L108" s="18" t="str"/>
      <x:c r="M108" s="18" t="str"/>
      <x:c r="N108" s="17" t="str"/>
    </x:row>
    <x:row r="109" ht="48" customHeight="1">
      <x:c r="A109" s="17" t="n">
        <x:v>105</x:v>
      </x:c>
      <x:c r="B109" s="18" t="str">
        <x:v>GT-CA-000651-20220805</x:v>
      </x:c>
      <x:c r="C109" s="18" t="str">
        <x:v>AG-006</x:v>
      </x:c>
      <x:c r="D109" s="18" t="str">
        <x:v>分红除权除息</x:v>
      </x:c>
      <x:c r="E109" s="18" t="str">
        <x:v>000651.SZ</x:v>
      </x:c>
      <x:c r="F109" s="19" t="n">
        <x:v>44778</x:v>
      </x:c>
      <x:c r="G109" s="18" t="str">
        <x:v>COMPANY_ANNOUNCEMENT</x:v>
      </x:c>
      <x:c r="H109" s="18" t="str">
        <x:v>CNINFO 000651 2021 annual profit-distribution implementation announcement; ex-date 2022-08-05</x:v>
      </x:c>
      <x:c r="I109" s="18" t="str">
        <x:v>https://disc.static.szse.cn/disc/disk03/finalpage/2022-07-29/f1bcbfd5-1827-4754-813a-4daab09c217f.PDF</x:v>
      </x:c>
      <x:c r="J109" s="18" t="str">
        <x:v>核对发行人利润分配实施公告是否明确 000651.SZ 除权除息日为 2022-08-05；期望除权除息标记为 true。 预期值：除权除息标记=true</x:v>
      </x:c>
      <x:c r="K109" s="17" t="str"/>
      <x:c r="L109" s="18" t="str"/>
      <x:c r="M109" s="18" t="str"/>
      <x:c r="N109" s="17" t="str"/>
    </x:row>
    <x:row r="110" ht="48" customHeight="1">
      <x:c r="A110" s="17" t="n">
        <x:v>106</x:v>
      </x:c>
      <x:c r="B110" s="18" t="str">
        <x:v>GT-CA-000651-20230809</x:v>
      </x:c>
      <x:c r="C110" s="18" t="str">
        <x:v>AG-007</x:v>
      </x:c>
      <x:c r="D110" s="18" t="str">
        <x:v>分红除权除息</x:v>
      </x:c>
      <x:c r="E110" s="18" t="str">
        <x:v>000651.SZ</x:v>
      </x:c>
      <x:c r="F110" s="19" t="n">
        <x:v>45147</x:v>
      </x:c>
      <x:c r="G110" s="18" t="str">
        <x:v>COMPANY_ANNOUNCEMENT</x:v>
      </x:c>
      <x:c r="H110" s="18" t="str">
        <x:v>CNINFO 000651 2022 annual profit-distribution implementation announcement; ex-date 2023-08-09</x:v>
      </x:c>
      <x:c r="I110" s="18" t="str">
        <x:v>https://static.cninfo.com.cn/finalpage/2023-08-02/1217444821.PDF</x:v>
      </x:c>
      <x:c r="J110" s="18" t="str">
        <x:v>核对发行人利润分配实施公告是否明确 000651.SZ 除权除息日为 2023-08-09；期望除权除息标记为 true。 预期值：除权除息标记=true</x:v>
      </x:c>
      <x:c r="K110" s="17" t="str"/>
      <x:c r="L110" s="18" t="str"/>
      <x:c r="M110" s="18" t="str"/>
      <x:c r="N110" s="17" t="str"/>
    </x:row>
    <x:row r="111" ht="48" customHeight="1">
      <x:c r="A111" s="17" t="n">
        <x:v>107</x:v>
      </x:c>
      <x:c r="B111" s="18" t="str">
        <x:v>GT-CA-000858-20220629</x:v>
      </x:c>
      <x:c r="C111" s="18" t="str">
        <x:v>AG-008</x:v>
      </x:c>
      <x:c r="D111" s="18" t="str">
        <x:v>分红除权除息</x:v>
      </x:c>
      <x:c r="E111" s="18" t="str">
        <x:v>000858.SZ</x:v>
      </x:c>
      <x:c r="F111" s="19" t="n">
        <x:v>44741</x:v>
      </x:c>
      <x:c r="G111" s="18" t="str">
        <x:v>COMPANY_ANNOUNCEMENT</x:v>
      </x:c>
      <x:c r="H111" s="18" t="str">
        <x:v>CNINFO 000858 2021 annual profit-distribution implementation announcement; ex-date 2022-06-29</x:v>
      </x:c>
      <x:c r="I111" s="18" t="str">
        <x:v>https://static.cninfo.com.cn/finalpage/2022-06-22/1213776669.PDF</x:v>
      </x:c>
      <x:c r="J111" s="18" t="str">
        <x:v>核对发行人利润分配实施公告是否明确 000858.SZ 除权除息日为 2022-06-29；期望除权除息标记为 true。 预期值：除权除息标记=true</x:v>
      </x:c>
      <x:c r="K111" s="17" t="str"/>
      <x:c r="L111" s="18" t="str"/>
      <x:c r="M111" s="18" t="str"/>
      <x:c r="N111" s="17" t="str"/>
    </x:row>
    <x:row r="112" ht="48" customHeight="1">
      <x:c r="A112" s="17" t="n">
        <x:v>108</x:v>
      </x:c>
      <x:c r="B112" s="18" t="str">
        <x:v>GT-CA-000858-20230627</x:v>
      </x:c>
      <x:c r="C112" s="18" t="str">
        <x:v>AG-009</x:v>
      </x:c>
      <x:c r="D112" s="18" t="str">
        <x:v>分红除权除息</x:v>
      </x:c>
      <x:c r="E112" s="18" t="str">
        <x:v>000858.SZ</x:v>
      </x:c>
      <x:c r="F112" s="19" t="n">
        <x:v>45104</x:v>
      </x:c>
      <x:c r="G112" s="18" t="str">
        <x:v>COMPANY_ANNOUNCEMENT</x:v>
      </x:c>
      <x:c r="H112" s="18" t="str">
        <x:v>CNINFO 000858 2022 annual profit-distribution implementation announcement; ex-date 2023-06-27</x:v>
      </x:c>
      <x:c r="I112" s="18" t="str">
        <x:v>https://static.cninfo.com.cn/finalpage/2023-06-17/1217085394.PDF</x:v>
      </x:c>
      <x:c r="J112" s="18" t="str">
        <x:v>核对发行人利润分配实施公告是否明确 000858.SZ 除权除息日为 2023-06-27；期望除权除息标记为 true。 预期值：除权除息标记=true</x:v>
      </x:c>
      <x:c r="K112" s="17" t="str"/>
      <x:c r="L112" s="18" t="str"/>
      <x:c r="M112" s="18" t="str"/>
      <x:c r="N112" s="17" t="str"/>
    </x:row>
    <x:row r="113" ht="48" customHeight="1">
      <x:c r="A113" s="17" t="n">
        <x:v>109</x:v>
      </x:c>
      <x:c r="B113" s="18" t="str">
        <x:v>GT-CA-600036-20220715</x:v>
      </x:c>
      <x:c r="C113" s="18" t="str">
        <x:v>AG-013</x:v>
      </x:c>
      <x:c r="D113" s="18" t="str">
        <x:v>分红除权除息</x:v>
      </x:c>
      <x:c r="E113" s="18" t="str">
        <x:v>600036.SH</x:v>
      </x:c>
      <x:c r="F113" s="19" t="n">
        <x:v>44757</x:v>
      </x:c>
      <x:c r="G113" s="18" t="str">
        <x:v>COMPANY_ANNOUNCEMENT</x:v>
      </x:c>
      <x:c r="H113" s="18" t="str">
        <x:v>SSE 600036 2021 annual profit-distribution implementation announcement; ex-date 2022-07-15</x:v>
      </x:c>
      <x:c r="I113" s="18" t="str">
        <x:v>https://static.sse.com.cn/disclosure/listedinfo/announcement/c/new/2022-07-08/600036_20220708_2_wBQHNFmu.pdf</x:v>
      </x:c>
      <x:c r="J113" s="18" t="str">
        <x:v>核对发行人利润分配实施公告是否明确 600036.SH 除权除息日为 2022-07-15；期望除权除息标记为 true。 预期值：除权除息标记=true</x:v>
      </x:c>
      <x:c r="K113" s="17" t="str"/>
      <x:c r="L113" s="18" t="str"/>
      <x:c r="M113" s="18" t="str"/>
      <x:c r="N113" s="17" t="str"/>
    </x:row>
    <x:row r="114" ht="48" customHeight="1">
      <x:c r="A114" s="17" t="n">
        <x:v>110</x:v>
      </x:c>
      <x:c r="B114" s="18" t="str">
        <x:v>GT-CA-600036-20230713</x:v>
      </x:c>
      <x:c r="C114" s="18" t="str">
        <x:v>AG-014</x:v>
      </x:c>
      <x:c r="D114" s="18" t="str">
        <x:v>分红除权除息</x:v>
      </x:c>
      <x:c r="E114" s="18" t="str">
        <x:v>600036.SH</x:v>
      </x:c>
      <x:c r="F114" s="19" t="n">
        <x:v>45120</x:v>
      </x:c>
      <x:c r="G114" s="18" t="str">
        <x:v>COMPANY_ANNOUNCEMENT</x:v>
      </x:c>
      <x:c r="H114" s="18" t="str">
        <x:v>SSE 600036 2022 annual profit-distribution implementation announcement; ex-date 2023-07-13</x:v>
      </x:c>
      <x:c r="I114" s="18" t="str">
        <x:v>https://static.sse.com.cn/disclosure/listedinfo/announcement/c/new/2023-07-06/600036_20230706_PLK0.pdf</x:v>
      </x:c>
      <x:c r="J114" s="18" t="str">
        <x:v>核对发行人利润分配实施公告是否明确 600036.SH 除权除息日为 2023-07-13；期望除权除息标记为 true。 预期值：除权除息标记=true</x:v>
      </x:c>
      <x:c r="K114" s="17" t="str"/>
      <x:c r="L114" s="18" t="str"/>
      <x:c r="M114" s="18" t="str"/>
      <x:c r="N114" s="17" t="str"/>
    </x:row>
    <x:row r="115" ht="48" customHeight="1">
      <x:c r="A115" s="17" t="n">
        <x:v>111</x:v>
      </x:c>
      <x:c r="B115" s="18" t="str">
        <x:v>GT-CA-600104-20220715</x:v>
      </x:c>
      <x:c r="C115" s="18" t="str">
        <x:v>AG-015</x:v>
      </x:c>
      <x:c r="D115" s="18" t="str">
        <x:v>分红除权除息</x:v>
      </x:c>
      <x:c r="E115" s="18" t="str">
        <x:v>600104.SH</x:v>
      </x:c>
      <x:c r="F115" s="19" t="n">
        <x:v>44757</x:v>
      </x:c>
      <x:c r="G115" s="18" t="str">
        <x:v>COMPANY_ANNOUNCEMENT</x:v>
      </x:c>
      <x:c r="H115" s="18" t="str">
        <x:v>SSE 600104 2021 annual profit-distribution implementation announcement; ex-date 2022-07-15</x:v>
      </x:c>
      <x:c r="I115" s="18" t="str">
        <x:v>https://static.sse.com.cn/disclosure/listedinfo/announcement/c/new/2022-07-08/600104_20220708_2_Cx62oZwE.pdf</x:v>
      </x:c>
      <x:c r="J115" s="18" t="str">
        <x:v>核对发行人利润分配实施公告是否明确 600104.SH 除权除息日为 2022-07-15；期望除权除息标记为 true。 预期值：除权除息标记=true</x:v>
      </x:c>
      <x:c r="K115" s="17" t="str"/>
      <x:c r="L115" s="18" t="str"/>
      <x:c r="M115" s="18" t="str"/>
      <x:c r="N115" s="17" t="str"/>
    </x:row>
    <x:row r="116" ht="48" customHeight="1">
      <x:c r="A116" s="17" t="n">
        <x:v>112</x:v>
      </x:c>
      <x:c r="B116" s="18" t="str">
        <x:v>GT-CA-600104-20230719</x:v>
      </x:c>
      <x:c r="C116" s="18" t="str">
        <x:v>AG-016</x:v>
      </x:c>
      <x:c r="D116" s="18" t="str">
        <x:v>分红除权除息</x:v>
      </x:c>
      <x:c r="E116" s="18" t="str">
        <x:v>600104.SH</x:v>
      </x:c>
      <x:c r="F116" s="19" t="n">
        <x:v>45126</x:v>
      </x:c>
      <x:c r="G116" s="18" t="str">
        <x:v>COMPANY_ANNOUNCEMENT</x:v>
      </x:c>
      <x:c r="H116" s="18" t="str">
        <x:v>SSE 600104 2022 annual profit-distribution implementation announcement; ex-date 2023-07-19</x:v>
      </x:c>
      <x:c r="I116" s="18" t="str">
        <x:v>https://static.sse.com.cn/disclosure/listedinfo/announcement/c/new/2023-07-12/600104_20230712_ONIE.pdf</x:v>
      </x:c>
      <x:c r="J116" s="18" t="str">
        <x:v>核对发行人利润分配实施公告是否明确 600104.SH 除权除息日为 2023-07-19；期望除权除息标记为 true。 预期值：除权除息标记=true</x:v>
      </x:c>
      <x:c r="K116" s="17" t="str"/>
      <x:c r="L116" s="18" t="str"/>
      <x:c r="M116" s="18" t="str"/>
      <x:c r="N116" s="17" t="str"/>
    </x:row>
    <x:row r="117" ht="48" customHeight="1">
      <x:c r="A117" s="17" t="n">
        <x:v>113</x:v>
      </x:c>
      <x:c r="B117" s="18" t="str">
        <x:v>GT-CA-600519-20220630</x:v>
      </x:c>
      <x:c r="C117" s="18" t="str">
        <x:v>AG-017</x:v>
      </x:c>
      <x:c r="D117" s="18" t="str">
        <x:v>分红除权除息</x:v>
      </x:c>
      <x:c r="E117" s="18" t="str">
        <x:v>600519.SH</x:v>
      </x:c>
      <x:c r="F117" s="19" t="n">
        <x:v>44742</x:v>
      </x:c>
      <x:c r="G117" s="18" t="str">
        <x:v>COMPANY_ANNOUNCEMENT</x:v>
      </x:c>
      <x:c r="H117" s="18" t="str">
        <x:v>SSE 600519 2021 annual profit-distribution implementation announcement; ex-date 2022-06-30</x:v>
      </x:c>
      <x:c r="I117" s="18" t="str">
        <x:v>https://static.sse.com.cn/disclosure/listedinfo/announcement/c/new/2022-06-24/600519_20220624_1_uyoZ4ubX.pdf</x:v>
      </x:c>
      <x:c r="J117" s="18" t="str">
        <x:v>核对发行人利润分配实施公告是否明确 600519.SH 除权除息日为 2022-06-30；期望除权除息标记为 true。 预期值：除权除息标记=true</x:v>
      </x:c>
      <x:c r="K117" s="17" t="str"/>
      <x:c r="L117" s="18" t="str"/>
      <x:c r="M117" s="18" t="str"/>
      <x:c r="N117" s="17" t="str"/>
    </x:row>
    <x:row r="118" ht="48" customHeight="1">
      <x:c r="A118" s="17" t="n">
        <x:v>114</x:v>
      </x:c>
      <x:c r="B118" s="18" t="str">
        <x:v>GT-CA-600519-20230630</x:v>
      </x:c>
      <x:c r="C118" s="18" t="str">
        <x:v>AG-018</x:v>
      </x:c>
      <x:c r="D118" s="18" t="str">
        <x:v>分红除权除息</x:v>
      </x:c>
      <x:c r="E118" s="18" t="str">
        <x:v>600519.SH</x:v>
      </x:c>
      <x:c r="F118" s="19" t="n">
        <x:v>45107</x:v>
      </x:c>
      <x:c r="G118" s="18" t="str">
        <x:v>COMPANY_ANNOUNCEMENT</x:v>
      </x:c>
      <x:c r="H118" s="18" t="str">
        <x:v>SSE 600519 2022 annual profit-distribution implementation announcement; ex-date 2023-06-30</x:v>
      </x:c>
      <x:c r="I118" s="18" t="str">
        <x:v>https://static.sse.com.cn/disclosure/listedinfo/announcement/c/new/2023-06-26/600519_20230626_V0SN.pdf</x:v>
      </x:c>
      <x:c r="J118" s="18" t="str">
        <x:v>核对发行人利润分配实施公告是否明确 600519.SH 除权除息日为 2023-06-30；期望除权除息标记为 true。 预期值：除权除息标记=true</x:v>
      </x:c>
      <x:c r="K118" s="17" t="str"/>
      <x:c r="L118" s="18" t="str"/>
      <x:c r="M118" s="18" t="str"/>
      <x:c r="N118" s="17" t="str"/>
    </x:row>
    <x:row r="119" ht="48" customHeight="1">
      <x:c r="A119" s="17" t="n">
        <x:v>115</x:v>
      </x:c>
      <x:c r="B119" s="18" t="str">
        <x:v>GT-CA-600900-20220721</x:v>
      </x:c>
      <x:c r="C119" s="18" t="str">
        <x:v>AG-019</x:v>
      </x:c>
      <x:c r="D119" s="18" t="str">
        <x:v>分红除权除息</x:v>
      </x:c>
      <x:c r="E119" s="18" t="str">
        <x:v>600900.SH</x:v>
      </x:c>
      <x:c r="F119" s="19" t="n">
        <x:v>44763</x:v>
      </x:c>
      <x:c r="G119" s="18" t="str">
        <x:v>COMPANY_ANNOUNCEMENT</x:v>
      </x:c>
      <x:c r="H119" s="18" t="str">
        <x:v>SSE 600900 2021 annual profit-distribution implementation announcement; ex-date 2022-07-21</x:v>
      </x:c>
      <x:c r="I119" s="18" t="str">
        <x:v>https://static.sse.com.cn/disclosure/listedinfo/announcement/c/new/2022-07-13/600900_20220713_1_zI17tKH7.pdf</x:v>
      </x:c>
      <x:c r="J119" s="18" t="str">
        <x:v>核对发行人利润分配实施公告是否明确 600900.SH 除权除息日为 2022-07-21；期望除权除息标记为 true。 预期值：除权除息标记=true</x:v>
      </x:c>
      <x:c r="K119" s="17" t="str"/>
      <x:c r="L119" s="18" t="str"/>
      <x:c r="M119" s="18" t="str"/>
      <x:c r="N119" s="17" t="str"/>
    </x:row>
    <x:row r="120" ht="48" customHeight="1">
      <x:c r="A120" s="17" t="n">
        <x:v>116</x:v>
      </x:c>
      <x:c r="B120" s="18" t="str">
        <x:v>GT-CA-600900-20230721</x:v>
      </x:c>
      <x:c r="C120" s="18" t="str">
        <x:v>AG-020</x:v>
      </x:c>
      <x:c r="D120" s="18" t="str">
        <x:v>分红除权除息</x:v>
      </x:c>
      <x:c r="E120" s="18" t="str">
        <x:v>600900.SH</x:v>
      </x:c>
      <x:c r="F120" s="19" t="n">
        <x:v>45128</x:v>
      </x:c>
      <x:c r="G120" s="18" t="str">
        <x:v>COMPANY_ANNOUNCEMENT</x:v>
      </x:c>
      <x:c r="H120" s="18" t="str">
        <x:v>SSE 600900 2022 annual profit-distribution implementation announcement; ex-date 2023-07-21</x:v>
      </x:c>
      <x:c r="I120" s="18" t="str">
        <x:v>https://static.sse.com.cn/disclosure/listedinfo/announcement/c/new/2023-07-17/600900_20230717_R4MO.pdf</x:v>
      </x:c>
      <x:c r="J120" s="18" t="str">
        <x:v>核对发行人利润分配实施公告是否明确 600900.SH 除权除息日为 2023-07-21；期望除权除息标记为 true。 预期值：除权除息标记=true</x:v>
      </x:c>
      <x:c r="K120" s="17" t="str"/>
      <x:c r="L120" s="18" t="str"/>
      <x:c r="M120" s="18" t="str"/>
      <x:c r="N120" s="17" t="str"/>
    </x:row>
    <x:row r="121" ht="48" customHeight="1">
      <x:c r="A121" s="17" t="n">
        <x:v>117</x:v>
      </x:c>
      <x:c r="B121" s="18" t="str">
        <x:v>GT-CA-601318-20220620</x:v>
      </x:c>
      <x:c r="C121" s="18" t="str">
        <x:v>AG-021</x:v>
      </x:c>
      <x:c r="D121" s="18" t="str">
        <x:v>分红除权除息</x:v>
      </x:c>
      <x:c r="E121" s="18" t="str">
        <x:v>601318.SH</x:v>
      </x:c>
      <x:c r="F121" s="19" t="n">
        <x:v>44732</x:v>
      </x:c>
      <x:c r="G121" s="18" t="str">
        <x:v>COMPANY_ANNOUNCEMENT</x:v>
      </x:c>
      <x:c r="H121" s="18" t="str">
        <x:v>SSE 601318 2021 annual profit-distribution implementation announcement; ex-date 2022-06-20</x:v>
      </x:c>
      <x:c r="I121" s="18" t="str">
        <x:v>https://static.sse.com.cn/disclosure/listedinfo/announcement/c/new/2022-06-11/601318_20220611_1_KRbdGZAx.pdf</x:v>
      </x:c>
      <x:c r="J121" s="18" t="str">
        <x:v>核对发行人利润分配实施公告是否明确 601318.SH 除权除息日为 2022-06-20；期望除权除息标记为 true。 预期值：除权除息标记=true</x:v>
      </x:c>
      <x:c r="K121" s="17" t="str"/>
      <x:c r="L121" s="18" t="str"/>
      <x:c r="M121" s="18" t="str"/>
      <x:c r="N121" s="17" t="str"/>
    </x:row>
    <x:row r="122" ht="48" customHeight="1">
      <x:c r="A122" s="17" t="n">
        <x:v>118</x:v>
      </x:c>
      <x:c r="B122" s="18" t="str">
        <x:v>GT-CA-601318-20230614</x:v>
      </x:c>
      <x:c r="C122" s="18" t="str">
        <x:v>AG-022</x:v>
      </x:c>
      <x:c r="D122" s="18" t="str">
        <x:v>分红除权除息</x:v>
      </x:c>
      <x:c r="E122" s="18" t="str">
        <x:v>601318.SH</x:v>
      </x:c>
      <x:c r="F122" s="19" t="n">
        <x:v>45091</x:v>
      </x:c>
      <x:c r="G122" s="18" t="str">
        <x:v>COMPANY_ANNOUNCEMENT</x:v>
      </x:c>
      <x:c r="H122" s="18" t="str">
        <x:v>SSE 601318 2022 annual profit-distribution implementation announcement; ex-date 2023-06-14</x:v>
      </x:c>
      <x:c r="I122" s="18" t="str">
        <x:v>https://static.sse.com.cn/disclosure/listedinfo/announcement/c/new/2023-06-07/601318_20230607_A9V4.pdf</x:v>
      </x:c>
      <x:c r="J122" s="18" t="str">
        <x:v>核对发行人利润分配实施公告是否明确 601318.SH 除权除息日为 2023-06-14；期望除权除息标记为 true。 预期值：除权除息标记=true</x:v>
      </x:c>
      <x:c r="K122" s="17" t="str"/>
      <x:c r="L122" s="18" t="str"/>
      <x:c r="M122" s="18" t="str"/>
      <x:c r="N122" s="17" t="str"/>
    </x:row>
    <x:row r="123" ht="48" customHeight="1">
      <x:c r="A123" s="17" t="n">
        <x:v>119</x:v>
      </x:c>
      <x:c r="B123" s="18" t="str">
        <x:v>GT-CA-601398-20220712</x:v>
      </x:c>
      <x:c r="C123" s="18" t="str">
        <x:v>AG-023</x:v>
      </x:c>
      <x:c r="D123" s="18" t="str">
        <x:v>分红除权除息</x:v>
      </x:c>
      <x:c r="E123" s="18" t="str">
        <x:v>601398.SH</x:v>
      </x:c>
      <x:c r="F123" s="19" t="n">
        <x:v>44754</x:v>
      </x:c>
      <x:c r="G123" s="18" t="str">
        <x:v>COMPANY_ANNOUNCEMENT</x:v>
      </x:c>
      <x:c r="H123" s="18" t="str">
        <x:v>SSE 601398 2021 annual profit-distribution implementation announcement; ex-date 2022-07-12</x:v>
      </x:c>
      <x:c r="I123" s="18" t="str">
        <x:v>https://static.sse.com.cn/disclosure/listedinfo/announcement/c/new/2022-07-05/601398_20220705_1_7xXht7EQ.pdf</x:v>
      </x:c>
      <x:c r="J123" s="18" t="str">
        <x:v>核对发行人利润分配实施公告是否明确 601398.SH 除权除息日为 2022-07-12；期望除权除息标记为 true。 预期值：除权除息标记=true</x:v>
      </x:c>
      <x:c r="K123" s="17" t="str"/>
      <x:c r="L123" s="18" t="str"/>
      <x:c r="M123" s="18" t="str"/>
      <x:c r="N123" s="17" t="str"/>
    </x:row>
    <x:row r="124" ht="48" customHeight="1">
      <x:c r="A124" s="17" t="n">
        <x:v>120</x:v>
      </x:c>
      <x:c r="B124" s="18" t="str">
        <x:v>GT-CA-601398-20230717</x:v>
      </x:c>
      <x:c r="C124" s="18" t="str">
        <x:v>AG-024</x:v>
      </x:c>
      <x:c r="D124" s="18" t="str">
        <x:v>分红除权除息</x:v>
      </x:c>
      <x:c r="E124" s="18" t="str">
        <x:v>601398.SH</x:v>
      </x:c>
      <x:c r="F124" s="19" t="n">
        <x:v>45124</x:v>
      </x:c>
      <x:c r="G124" s="18" t="str">
        <x:v>COMPANY_ANNOUNCEMENT</x:v>
      </x:c>
      <x:c r="H124" s="18" t="str">
        <x:v>SSE 601398 2022 annual profit-distribution implementation announcement; ex-date 2023-07-17</x:v>
      </x:c>
      <x:c r="I124" s="18" t="str">
        <x:v>https://static.sse.com.cn/disclosure/listedinfo/announcement/c/new/2023-07-11/601398_20230711_UH4E.pdf</x:v>
      </x:c>
      <x:c r="J124" s="18" t="str">
        <x:v>核对发行人利润分配实施公告是否明确 601398.SH 除权除息日为 2023-07-17；期望除权除息标记为 true。 预期值：除权除息标记=true</x:v>
      </x:c>
      <x:c r="K124" s="17" t="str"/>
      <x:c r="L124" s="18" t="str"/>
      <x:c r="M124" s="18" t="str"/>
      <x:c r="N124" s="17" t="str"/>
    </x:row>
    <x:row r="125" ht="48" customHeight="1">
      <x:c r="A125" s="17" t="n">
        <x:v>121</x:v>
      </x:c>
      <x:c r="B125" s="18" t="str">
        <x:v>GT-H2-CA-RIGHT-000750-20200114</x:v>
      </x:c>
      <x:c r="C125" s="18" t="str">
        <x:v>AG-011</x:v>
      </x:c>
      <x:c r="D125" s="18" t="str">
        <x:v>配股除权</x:v>
      </x:c>
      <x:c r="E125" s="18" t="str">
        <x:v>000750.SZ</x:v>
      </x:c>
      <x:c r="F125" s="19" t="n">
        <x:v>43844</x:v>
      </x:c>
      <x:c r="G125" s="18" t="str">
        <x:v>COMPANY_ANNOUNCEMENT</x:v>
      </x:c>
      <x:c r="H125" s="18" t="str">
        <x:v>CNINFO company announcement: 国海证券配股除权日 2020-01-14</x:v>
      </x:c>
      <x:c r="I125" s="18" t="str">
        <x:v>https://static.cninfo.com.cn/finalpage/2020-01-09/1207235277.PDF</x:v>
      </x:c>
      <x:c r="J125" s="18" t="str">
        <x:v>核对配股公告是否明确 000750.SZ 配股除权日为 2020-01-14；期望事件类型为 RIGHT_ISSUE，除权除息标记为 true。 预期值：除权除息标记=true；事件类型=RIGHT_ISSUE</x:v>
      </x:c>
      <x:c r="K125" s="17" t="str"/>
      <x:c r="L125" s="18" t="str"/>
      <x:c r="M125" s="18" t="str"/>
      <x:c r="N125" s="17" t="str"/>
    </x:row>
    <x:row r="126" ht="48" customHeight="1">
      <x:c r="A126" s="17" t="n">
        <x:v>122</x:v>
      </x:c>
      <x:c r="B126" s="18" t="str">
        <x:v>GT-H2-CA-RIGHT-002142-20211202</x:v>
      </x:c>
      <x:c r="C126" s="18" t="str">
        <x:v>AG-012</x:v>
      </x:c>
      <x:c r="D126" s="18" t="str">
        <x:v>配股除权</x:v>
      </x:c>
      <x:c r="E126" s="18" t="str">
        <x:v>002142.SZ</x:v>
      </x:c>
      <x:c r="F126" s="19" t="n">
        <x:v>44532</x:v>
      </x:c>
      <x:c r="G126" s="18" t="str">
        <x:v>COMPANY_ANNOUNCEMENT</x:v>
      </x:c>
      <x:c r="H126" s="18" t="str">
        <x:v>CNINFO company announcement: 宁波银行配股除权日 2021-12-02</x:v>
      </x:c>
      <x:c r="I126" s="18" t="str">
        <x:v>http://static.cninfo.com.cn/finalpage/2021-12-02/1211763892.PDF</x:v>
      </x:c>
      <x:c r="J126" s="18" t="str">
        <x:v>核对配股公告是否明确 002142.SZ 配股除权日为 2021-12-02；期望事件类型为 RIGHT_ISSUE，除权除息标记为 true。 预期值：除权除息标记=true；事件类型=RIGHT_ISSUE</x:v>
      </x:c>
      <x:c r="K126" s="17" t="str"/>
      <x:c r="L126" s="18" t="str"/>
      <x:c r="M126" s="18" t="str"/>
      <x:c r="N126" s="17" t="str"/>
    </x:row>
    <x:row r="127" ht="48" customHeight="1">
      <x:c r="A127" s="17" t="n">
        <x:v>123</x:v>
      </x:c>
      <x:c r="B127" s="18" t="str">
        <x:v>GT-H2-CA-RIGHT-002788-20200917</x:v>
      </x:c>
      <x:c r="C127" s="18" t="str">
        <x:v>AG-058</x:v>
      </x:c>
      <x:c r="D127" s="18" t="str">
        <x:v>配股除权</x:v>
      </x:c>
      <x:c r="E127" s="18" t="str">
        <x:v>002788.SZ</x:v>
      </x:c>
      <x:c r="F127" s="19" t="n">
        <x:v>44091</x:v>
      </x:c>
      <x:c r="G127" s="18" t="str">
        <x:v>COMPANY_ANNOUNCEMENT</x:v>
      </x:c>
      <x:c r="H127" s="18" t="str">
        <x:v>SZSE company announcement: 鹭燕医药配股除权日 2020-09-17</x:v>
      </x:c>
      <x:c r="I127" s="18" t="str">
        <x:v>https://disc.static.szse.cn/disc/disk02/finalpage/2020-09-17/4851a060-520a-4116-a303-00d7eb5aef65.PDF</x:v>
      </x:c>
      <x:c r="J127" s="18" t="str">
        <x:v>核对配股公告是否明确 002788.SZ 配股除权日为 2020-09-17；期望事件类型为 RIGHT_ISSUE，除权除息标记为 true。 预期值：除权除息标记=true；事件类型=RIGHT_ISSUE</x:v>
      </x:c>
      <x:c r="K127" s="17" t="str"/>
      <x:c r="L127" s="18" t="str"/>
      <x:c r="M127" s="18" t="str"/>
      <x:c r="N127" s="17" t="str"/>
    </x:row>
    <x:row r="128" ht="48" customHeight="1">
      <x:c r="A128" s="17" t="n">
        <x:v>124</x:v>
      </x:c>
      <x:c r="B128" s="18" t="str">
        <x:v>GT-H2-CA-RIGHT-300475-20230216</x:v>
      </x:c>
      <x:c r="C128" s="18" t="str">
        <x:v>AG-057</x:v>
      </x:c>
      <x:c r="D128" s="18" t="str">
        <x:v>配股除权</x:v>
      </x:c>
      <x:c r="E128" s="18" t="str">
        <x:v>300475.SZ</x:v>
      </x:c>
      <x:c r="F128" s="19" t="n">
        <x:v>44973</x:v>
      </x:c>
      <x:c r="G128" s="18" t="str">
        <x:v>COMPANY_ANNOUNCEMENT</x:v>
      </x:c>
      <x:c r="H128" s="18" t="str">
        <x:v>SZSE company announcement: 香农芯创配股除权日 2023-02-16</x:v>
      </x:c>
      <x:c r="I128" s="18" t="str">
        <x:v>https://disc.static.szse.cn/disc/disk03/finalpage/2023-02-16/d2d8c9e3-0ad2-4a54-af01-e176019e9906.PDF</x:v>
      </x:c>
      <x:c r="J128" s="18" t="str">
        <x:v>核对配股公告是否明确 300475.SZ 配股除权日为 2023-02-16；期望事件类型为 RIGHT_ISSUE，除权除息标记为 true。 预期值：除权除息标记=true；事件类型=RIGHT_ISSUE</x:v>
      </x:c>
      <x:c r="K128" s="17" t="str"/>
      <x:c r="L128" s="18" t="str"/>
      <x:c r="M128" s="18" t="str"/>
      <x:c r="N128" s="17" t="str"/>
    </x:row>
    <x:row r="129" ht="48" customHeight="1">
      <x:c r="A129" s="17" t="n">
        <x:v>125</x:v>
      </x:c>
      <x:c r="B129" s="18" t="str">
        <x:v>GT-H2-CA-RIGHT-601555-20200323</x:v>
      </x:c>
      <x:c r="C129" s="18" t="str">
        <x:v>AG-010</x:v>
      </x:c>
      <x:c r="D129" s="18" t="str">
        <x:v>配股除权</x:v>
      </x:c>
      <x:c r="E129" s="18" t="str">
        <x:v>601555.SH</x:v>
      </x:c>
      <x:c r="F129" s="19" t="n">
        <x:v>43913</x:v>
      </x:c>
      <x:c r="G129" s="18" t="str">
        <x:v>COMPANY_ANNOUNCEMENT</x:v>
      </x:c>
      <x:c r="H129" s="18" t="str">
        <x:v>CNINFO company announcement: 东吴证券配股除权日 2020-03-23</x:v>
      </x:c>
      <x:c r="I129" s="18" t="str">
        <x:v>https://static.cninfo.com.cn/finalpage/2020-03-23/1207391500.PDF</x:v>
      </x:c>
      <x:c r="J129" s="18" t="str">
        <x:v>核对配股公告是否明确 601555.SH 配股除权日为 2020-03-23；期望事件类型为 RIGHT_ISSUE，除权除息标记为 true。 预期值：除权除息标记=true；事件类型=RIGHT_ISSUE</x:v>
      </x:c>
      <x:c r="K129" s="17" t="str"/>
      <x:c r="L129" s="18" t="str"/>
      <x:c r="M129" s="18" t="str"/>
      <x:c r="N129" s="17" t="str"/>
    </x:row>
  </x:sheetData>
  <x:conditionalFormatting sqref="K5:K129">
    <x:cfRule type="containsText" dxfId="0" priority="1" operator="containsText" text="APPROVE"/>
    <x:cfRule type="containsText" dxfId="1" priority="2" operator="containsText" text="REJECT"/>
  </x:conditionalFormatting>
  <x:dataValidations count="1">
    <x:dataValidation type="list" sqref="K5:K129">
      <x:formula1>"APPROVE,REJECT"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bfe050eb724fa0"/>
  </x:tableParts>
</x:worksheet>
</file>