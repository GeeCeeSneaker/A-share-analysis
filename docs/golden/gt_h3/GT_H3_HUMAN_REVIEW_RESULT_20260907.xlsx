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填写说明" sheetId="1" r:id="rId1"/>
    <sheet name="逐案审阅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<sst xmlns="http://schemas.openxmlformats.org/spreadsheetml/2006/main" count="1544" uniqueCount="709">
  <si>
    <t>GT-H3 人工审阅表</t>
  </si>
  <si>
    <t>候选版本：v4-candidate-20260906｜125 条案例｜请按逐案表格填写，不要修改案例事实</t>
  </si>
  <si>
    <t>总案例数</t>
  </si>
  <si>
    <t>已填写</t>
  </si>
  <si>
    <t>APPROVE</t>
  </si>
  <si>
    <t>REJECT</t>
  </si>
  <si>
    <t>未填写</t>
  </si>
  <si>
    <t>表格状态</t>
  </si>
  <si>
    <t>填写步骤</t>
  </si>
  <si>
    <t>1. 打开逐案表中每行的官方链接，阅读官方原文。</t>
  </si>
  <si>
    <t>2. 对照“必须核对”列，检查代码、日期、事件、适用板块/规则和预期值。</t>
  </si>
  <si>
    <t>3. 结果只填 APPROVE 或 REJECT；REJECT 必须写一个简短原因。</t>
  </si>
  <si>
    <t>4. 不要修改案例ID、分组或“必须核对”内容；全部完成后填写审阅人和日期。</t>
  </si>
  <si>
    <t>反馈示例</t>
  </si>
  <si>
    <t>内容</t>
  </si>
  <si>
    <t>通过</t>
  </si>
  <si>
    <t>APPROVE；原文已明确支持代码、日期、事件和预期值。</t>
  </si>
  <si>
    <t>不通过</t>
  </si>
  <si>
    <t>REJECT；原因：日期不一致。</t>
  </si>
  <si>
    <t>来源不可用</t>
  </si>
  <si>
    <t>REJECT；原因：官方原文打不开/不证明该事实。</t>
  </si>
  <si>
    <t>事件类型</t>
  </si>
  <si>
    <t>数量</t>
  </si>
  <si>
    <t>涨跌停制度</t>
  </si>
  <si>
    <t>上市初期涨跌幅</t>
  </si>
  <si>
    <t>ST/风险警示变更</t>
  </si>
  <si>
    <t>退市/摘牌</t>
  </si>
  <si>
    <t>分红/配股除权</t>
  </si>
  <si>
    <t>GT-H3 逐案人工审阅表</t>
  </si>
  <si>
    <t>结果栏只填 APPROVE 或 REJECT；每一行都要对照官方原文。</t>
  </si>
  <si>
    <t>序号</t>
  </si>
  <si>
    <t>案例ID</t>
  </si>
  <si>
    <t>分组</t>
  </si>
  <si>
    <t>证券代码</t>
  </si>
  <si>
    <t>交易日</t>
  </si>
  <si>
    <t>候选材料类型</t>
  </si>
  <si>
    <t>官方材料名称</t>
  </si>
  <si>
    <t>官方链接</t>
  </si>
  <si>
    <t>必须核对（按这一行）</t>
  </si>
  <si>
    <t>结果（仅填 APPROVE/REJECT）</t>
  </si>
  <si>
    <t>简短反馈（REJECT 写原因）</t>
  </si>
  <si>
    <t>审阅人</t>
  </si>
  <si>
    <t>审阅日期</t>
  </si>
  <si>
    <t>GT-LIMIT-BSE30-20220104</t>
  </si>
  <si>
    <t>AG-001</t>
  </si>
  <si>
    <t>835185.BJ</t>
  </si>
  <si>
    <t>EXCHANGE_RULEBOOK</t>
  </si>
  <si>
    <t>BSE Trading Rules (Announcement [2021]15; effective 2021-11-15; 30% price-limit clause)</t>
  </si>
  <si>
    <t>https://www.bse.cn/jygl_list/200010919.html</t>
  </si>
  <si>
    <t>核对规则适用的交易所/板块和日期范围；原文应支持 835185.BJ 在 2022-01-04 涨幅上限 30%（只核对该字段，不自行补写跌幅）。 预期值：涨幅上限 30%</t>
  </si>
  <si>
    <t/>
  </si>
  <si>
    <t>LY审阅</t>
  </si>
  <si>
    <t>2026-09-07</t>
  </si>
  <si>
    <t>GT-LIMIT-BSE30-20220601</t>
  </si>
  <si>
    <t>核对规则适用的交易所/板块和日期范围；原文应支持 835185.BJ 在 2022-06-01 涨幅上限 30%（只核对该字段，不自行补写跌幅）。 预期值：涨幅上限 30%</t>
  </si>
  <si>
    <t>GT-LIMIT-CN10-300001</t>
  </si>
  <si>
    <t>AG-055</t>
  </si>
  <si>
    <t>300001.SZ</t>
  </si>
  <si>
    <t>SZSE Trading Rules (exact historical rule page; ChiNext pre-2020-08-24 10% clause)</t>
  </si>
  <si>
    <t>https://www.szse.cn/disclosure/notice/general/t20060515_499577.html</t>
  </si>
  <si>
    <t>核对规则适用的交易所/板块和日期范围；原文应支持 300001.SZ 在 2020-01-06 涨幅上限 10%（只核对该字段，不自行补写跌幅）。 预期值：涨幅上限 10%</t>
  </si>
  <si>
    <t>GT-LIMIT-CN10-300015</t>
  </si>
  <si>
    <t>300015.SZ</t>
  </si>
  <si>
    <t>核对规则适用的交易所/板块和日期范围；原文应支持 300015.SZ 在 2020-01-06 涨幅上限 10%（只核对该字段，不自行补写跌幅）。 预期值：涨幅上限 10%</t>
  </si>
  <si>
    <t>GT-LIMIT-CN10-300059</t>
  </si>
  <si>
    <t>300059.SZ</t>
  </si>
  <si>
    <t>核对规则适用的交易所/板块和日期范围；原文应支持 300059.SZ 在 2020-01-06 涨幅上限 10%（只核对该字段，不自行补写跌幅）。 预期值：涨幅上限 10%</t>
  </si>
  <si>
    <t>GT-LIMIT-CN10-300750</t>
  </si>
  <si>
    <t>300750.SZ</t>
  </si>
  <si>
    <t>核对规则适用的交易所/板块和日期范围；原文应支持 300750.SZ 在 2020-01-06 涨幅上限 10%（只核对该字段，不自行补写跌幅）。 预期值：涨幅上限 10%</t>
  </si>
  <si>
    <t>GT-LIMIT-CN20-300015</t>
  </si>
  <si>
    <t>AG-054</t>
  </si>
  <si>
    <t>SZSE ChiNext Trading Special Provisions (Notice [2020]515; effective with the 2020-08-24 reform; 20% clause)</t>
  </si>
  <si>
    <t>https://www.szse.cn/disclosure/notice/general/t20200612_578381.html</t>
  </si>
  <si>
    <t>核对规则适用的交易所/板块和日期范围；原文应支持 300015.SZ 在 2021-06-01 涨停 +20%、跌停 -20%。 预期值：涨幅上限 20%；跌幅上限 20%</t>
  </si>
  <si>
    <t>原因：原文仅为发布通知，不含20%涨跌幅条款（20%条款在附件《交易特别规定》中，未随页面呈现）</t>
  </si>
  <si>
    <t>GT-LIMIT-CN20-300059</t>
  </si>
  <si>
    <t>核对规则适用的交易所/板块和日期范围；原文应支持 300059.SZ 在 2021-06-01 涨停 +20%、跌停 -20%。 预期值：涨幅上限 20%；跌幅上限 20%</t>
  </si>
  <si>
    <t>GT-LIMIT-CN20-300124</t>
  </si>
  <si>
    <t>300124.SZ</t>
  </si>
  <si>
    <t>核对规则适用的交易所/板块和日期范围；原文应支持 300124.SZ 在 2021-06-01 涨停 +20%、跌停 -20%。 预期值：涨幅上限 20%；跌幅上限 20%</t>
  </si>
  <si>
    <t>GT-LIMIT-CN20-300274</t>
  </si>
  <si>
    <t>300274.SZ</t>
  </si>
  <si>
    <t>核对规则适用的交易所/板块和日期范围；原文应支持 300274.SZ 在 2021-06-01 涨停 +20%、跌停 -20%。 预期值：涨幅上限 20%；跌幅上限 20%</t>
  </si>
  <si>
    <t>GT-LIMIT-CN20-300750</t>
  </si>
  <si>
    <t>核对规则适用的交易所/板块和日期范围；原文应支持 300750.SZ 在 2021-06-01 涨停 +20%、跌停 -20%。 预期值：涨幅上限 20%；跌幅上限 20%</t>
  </si>
  <si>
    <t>GT-LIMIT-MAIN10-600019</t>
  </si>
  <si>
    <t>AG-028</t>
  </si>
  <si>
    <t>600019.SH</t>
  </si>
  <si>
    <t>SSE Trading Rules (exact rule page; main-board 10% price-limit clause)</t>
  </si>
  <si>
    <t>https://www.sse.com.cn/lawandrules/sselawsrules/repeal/rules/c/c_20230418_5720136.shtml</t>
  </si>
  <si>
    <t>核对规则适用的交易所/板块和日期范围；原文应支持 600019.SH 在 2023-06-01 涨停 +10%、跌停 -10%。 预期值：涨幅上限 10%；跌幅上限 10%</t>
  </si>
  <si>
    <t>GT-LIMIT-MAIN10-600036</t>
  </si>
  <si>
    <t>600036.SH</t>
  </si>
  <si>
    <t>核对规则适用的交易所/板块和日期范围；原文应支持 600036.SH 在 2023-06-01 涨停 +10%、跌停 -10%。 预期值：涨幅上限 10%；跌幅上限 10%</t>
  </si>
  <si>
    <t>GT-LIMIT-MAIN10-600104</t>
  </si>
  <si>
    <t>600104.SH</t>
  </si>
  <si>
    <t>核对规则适用的交易所/板块和日期范围；原文应支持 600104.SH 在 2023-06-01 涨停 +10%、跌停 -10%。 预期值：涨幅上限 10%；跌幅上限 10%</t>
  </si>
  <si>
    <t>GT-LIMIT-MAIN10-600519</t>
  </si>
  <si>
    <t>600519.SH</t>
  </si>
  <si>
    <t>核对规则适用的交易所/板块和日期范围；原文应支持 600519.SH 在 2023-06-01 涨停 +10%、跌停 -10%。 预期值：涨幅上限 10%；跌幅上限 10%</t>
  </si>
  <si>
    <t>GT-LIMIT-MAIN10-600900</t>
  </si>
  <si>
    <t>600900.SH</t>
  </si>
  <si>
    <t>核对规则适用的交易所/板块和日期范围；原文应支持 600900.SH 在 2023-06-01 涨停 +10%、跌停 -10%。 预期值：涨幅上限 10%；跌幅上限 10%</t>
  </si>
  <si>
    <t>GT-LIMIT-MAIN10-601318</t>
  </si>
  <si>
    <t>601318.SH</t>
  </si>
  <si>
    <t>核对规则适用的交易所/板块和日期范围；原文应支持 601318.SH 在 2023-06-01 涨停 +10%、跌停 -10%。 预期值：涨幅上限 10%；跌幅上限 10%</t>
  </si>
  <si>
    <t>GT-LIMIT-ST5-002450-20190422</t>
  </si>
  <si>
    <t>AG-056</t>
  </si>
  <si>
    <t>002450.SZ</t>
  </si>
  <si>
    <t>SZSE Trading Rules (exact historical rule page; rule 3.3.14 ST/*ST 5% clause)</t>
  </si>
  <si>
    <t>核对规则适用的交易所/板块和日期范围；原文应支持 002450.SZ 在 2019-04-22 涨停 +5%、跌停 -5%。 预期值：涨幅上限 5%；跌幅上限 5%</t>
  </si>
  <si>
    <t>GT-LIMIT-ST5-002450-20190722</t>
  </si>
  <si>
    <t>核对规则适用的交易所/板块和日期范围；原文应支持 002450.SZ 在 2019-07-22 涨停 +5%、跌停 -5%。 预期值：涨幅上限 5%；跌幅上限 5%</t>
  </si>
  <si>
    <t>GT-LIMIT-ST5-600518-20190603</t>
  </si>
  <si>
    <t>AG-025</t>
  </si>
  <si>
    <t>600518.SH</t>
  </si>
  <si>
    <t>SSE Risk-Warning Board Trading Measures (exact rule page; 5% price-limit clause)</t>
  </si>
  <si>
    <t>https://www.sse.com.cn/lawandrules/sselawsrules/repeal/rules/c/c_20210531_5478105.shtml</t>
  </si>
  <si>
    <t>核对规则适用的交易所/板块和日期范围；原文应支持 600518.SH 在 2019-06-03 涨停 +5%、跌停 -5%。 预期值：涨幅上限 5%；跌幅上限 5%</t>
  </si>
  <si>
    <t>原因：原文为0.01元最小变动单位通知（2020年文件），不含5%涨跌幅条款</t>
  </si>
  <si>
    <t>GT-LIMIT-ST5-600518-20191028</t>
  </si>
  <si>
    <t>核对规则适用的交易所/板块和日期范围；原文应支持 600518.SH 在 2019-10-28 涨停 +5%、跌停 -5%。 预期值：涨幅上限 5%；跌幅上限 5%</t>
  </si>
  <si>
    <t>GT-LIMIT-STAR20-688012</t>
  </si>
  <si>
    <t>AG-026</t>
  </si>
  <si>
    <t>688012.SH</t>
  </si>
  <si>
    <t>SSE STAR Market Trading Special Provisions (2019; beyond the first five listing days 20% price-limit clause)</t>
  </si>
  <si>
    <t>https://www.sse.com.cn/lawandrules/sselawsrules2025/repeal/rules/c/10785118/files/8c544552dc7e4c83a863440179f0b9de.pdf</t>
  </si>
  <si>
    <t>核对规则适用的交易所/板块和日期范围；原文应支持 688012.SH 在 2021-06-01 涨幅上限 20%（只核对该字段，不自行补写跌幅）。 预期值：涨幅上限 20%</t>
  </si>
  <si>
    <t>GT-LIMIT-STAR20-688036</t>
  </si>
  <si>
    <t>688036.SH</t>
  </si>
  <si>
    <t>核对规则适用的交易所/板块和日期范围；原文应支持 688036.SH 在 2021-06-01 涨幅上限 20%（只核对该字段，不自行补写跌幅）。 预期值：涨幅上限 20%</t>
  </si>
  <si>
    <t>GT-LIMIT-STAR20-688111</t>
  </si>
  <si>
    <t>688111.SH</t>
  </si>
  <si>
    <t>核对规则适用的交易所/板块和日期范围；原文应支持 688111.SH 在 2021-06-01 涨幅上限 20%（只核对该字段，不自行补写跌幅）。 预期值：涨幅上限 20%</t>
  </si>
  <si>
    <t>GT-LIMIT-STAR20-688599</t>
  </si>
  <si>
    <t>688599.SH</t>
  </si>
  <si>
    <t>核对规则适用的交易所/板块和日期范围；原文应支持 688599.SH 在 2021-06-01 涨幅上限 20%（只核对该字段，不自行补写跌幅）。 预期值：涨幅上限 20%</t>
  </si>
  <si>
    <t>GT-LIMIT-STAR20-688981</t>
  </si>
  <si>
    <t>688981.SH</t>
  </si>
  <si>
    <t>核对规则适用的交易所/板块和日期范围；原文应支持 688981.SH 在 2021-06-01 涨幅上限 20%（只核对该字段，不自行补写跌幅）。 预期值：涨幅上限 20%</t>
  </si>
  <si>
    <t>GT-LIMIT-IPO44-601995</t>
  </si>
  <si>
    <t>AG-029</t>
  </si>
  <si>
    <t>601995.SH</t>
  </si>
  <si>
    <t>SSE Trading Rules (exact rule page; main-board IPO first-day ±44%/−36% regime)</t>
  </si>
  <si>
    <t>核对上市首日规则的适用板块和日期；原文应支持 601995.SH 在 2020-11-02 涨幅上限 +44%、跌幅上限 -36%。 预期值：涨幅上限 44%；跌幅上限 36%</t>
  </si>
  <si>
    <t>原因：原文（2006交易规则）写“首个交易日无价格涨跌幅限制”，未含44%/-36%条款</t>
  </si>
  <si>
    <t>GT-LIMIT-IPO44-605499</t>
  </si>
  <si>
    <t>605499.SH</t>
  </si>
  <si>
    <t>核对上市首日规则的适用板块和日期；原文应支持 605499.SH 在 2021-05-27 涨幅上限 +44%、跌幅上限 -36%。 预期值：涨幅上限 44%；跌幅上限 36%</t>
  </si>
  <si>
    <t>GT-LIMIT-STARNO-20200722</t>
  </si>
  <si>
    <t>AG-027</t>
  </si>
  <si>
    <t>SSE STAR Market Trading Special Provisions (2019; first five listing days no limit, later 20%)</t>
  </si>
  <si>
    <t>核对上市初期规则的适用板块和日期；原文应明确 688981.SH 在 2020-07-22 所处上市初期不设涨跌幅限制。 预期值：涨幅限制字段 不设限制；跌幅限制字段 不设限制</t>
  </si>
  <si>
    <t>GT-LIMIT-STARNO-20200723</t>
  </si>
  <si>
    <t>核对上市初期规则的适用板块和日期；原文应明确 688981.SH 在 2020-07-23 所处上市初期不设涨跌幅限制。 预期值：涨幅限制字段 不设限制；跌幅限制字段 不设限制</t>
  </si>
  <si>
    <t>原因：688981上市日为2020-07-16，2020-07-23为上市后第6个交易日，超出“前5个交易日不设涨跌幅限制”范围，应适用20%</t>
  </si>
  <si>
    <t>GT-H2-ST-ST_ADD-000410-20220419</t>
  </si>
  <si>
    <t>AG-098</t>
  </si>
  <si>
    <t>000410.SZ</t>
  </si>
  <si>
    <t>SZSE_ANNOUNCEMENT</t>
  </si>
  <si>
    <t>SZSE official disclosure referring to *ST 沈机 risk warning effective 2022-04-19</t>
  </si>
  <si>
    <t>https://disc.static.szse.cn/disc/disk03/finalpage/2023-04-29/fc4e9195-d651-477a-9bb9-a1e5f52cc43a.PDF</t>
  </si>
  <si>
    <t>核对官方公告是否明确 000410.SZ 自 2022-04-19 起新增 ST/风险警示；交易日为 2022-04-19，期望 ST 标记为 true。 预期值：ST标记=true</t>
  </si>
  <si>
    <t>GT-H2-ST-ST_ADD-000525-20240919</t>
  </si>
  <si>
    <t>AG-100</t>
  </si>
  <si>
    <t>000525.SZ</t>
  </si>
  <si>
    <t>SZSE official disclosure referring to *ST 红阳 risk warning effective 2024-09-19</t>
  </si>
  <si>
    <t>https://disc.static.szse.cn/disc/disk03/finalpage/2024-10-09/a133a2c9-9d40-4c92-85ac-3efed7d8359d.PDF</t>
  </si>
  <si>
    <t>核对官方公告是否明确 000525.SZ 自 2024-09-19 起新增 ST/风险警示；交易日为 2024-09-19，期望 ST 标记为 true。 预期值：ST标记=true</t>
  </si>
  <si>
    <t>GT-H2-ST-ST_ADD-000540-20230505</t>
  </si>
  <si>
    <t>AG-059</t>
  </si>
  <si>
    <t>000540.SZ</t>
  </si>
  <si>
    <t>SZSE official announcement: *ST 中天 risk warning effective 2023-05-05</t>
  </si>
  <si>
    <t>https://disc.static.szse.cn/disc/disk03/finalpage/2023-04-29/09ad58d3-6179-47a3-bba4-1cccf853ae04.PDF</t>
  </si>
  <si>
    <t>核对官方公告是否明确 000540.SZ 自 2023-05-05 起新增 ST/风险警示；交易日为 2023-05-05，期望 ST 标记为 true。 预期值：ST标记=true</t>
  </si>
  <si>
    <t>GT-H2-ST-ST_ADD-000606-20220506</t>
  </si>
  <si>
    <t>AG-103</t>
  </si>
  <si>
    <t>000606.SZ</t>
  </si>
  <si>
    <t>SZSE official disclosure referring to *ST 顺利 risk warning effective 2022-05-06</t>
  </si>
  <si>
    <t>https://disc.static.szse.cn/disc/disk03/finalpage/2023-03-13/fd76e611-9f68-4ddc-96de-7c8a37fc5fda.PDF</t>
  </si>
  <si>
    <t>核对官方公告是否明确 000606.SZ 自 2022-05-06 起新增 ST/风险警示；交易日为 2022-05-06，期望 ST 标记为 true。 预期值：ST标记=true</t>
  </si>
  <si>
    <t>GT-H2-ST-ST_ADD-000616-20230504</t>
  </si>
  <si>
    <t>AG-062</t>
  </si>
  <si>
    <t>000616.SZ</t>
  </si>
  <si>
    <t>SZSE official announcement: *ST 海投 risk warning effective 2023-05-04</t>
  </si>
  <si>
    <t>https://disc.static.szse.cn/disc/disk03/finalpage/2023-04-28/10329d33-dd5b-416b-a0cf-2af0a33c4e13.PDF</t>
  </si>
  <si>
    <t>核对官方公告是否明确 000616.SZ 自 2023-05-04 起新增 ST/风险警示；交易日为 2023-05-04，期望 ST 标记为 true。 预期值：ST标记=true</t>
  </si>
  <si>
    <t>GT-H2-ST-ST_ADD-000806-20220506</t>
  </si>
  <si>
    <t>AG-069</t>
  </si>
  <si>
    <t>000806.SZ</t>
  </si>
  <si>
    <t>SZSE official announcement: *ST 银河 risk warning effective 2022-05-06</t>
  </si>
  <si>
    <t>http://disc.static.szse.cn/disc/disk03/finalpage/2022-04-30/b6d5b6a7-e992-4ff1-bd09-832e4e500651.PDF</t>
  </si>
  <si>
    <t>核对官方公告是否明确 000806.SZ 自 2022-05-06 起新增 ST/风险警示；交易日为 2022-05-06，期望 ST 标记为 true。 预期值：ST标记=true</t>
  </si>
  <si>
    <t>GT-H2-ST-ST_ADD-000995-20220429</t>
  </si>
  <si>
    <t>AG-099</t>
  </si>
  <si>
    <t>000995.SZ</t>
  </si>
  <si>
    <t>SZSE official disclosure referring to *ST 皇台 risk warning effective 2022-04-29</t>
  </si>
  <si>
    <t>https://disc.static.szse.cn/disc/disk03/finalpage/2023-03-13/0637c8e3-59a6-45ce-a0e5-de996b4a72e5.PDF</t>
  </si>
  <si>
    <t>核对官方公告是否明确 000995.SZ 自 2022-04-29 起新增 ST/风险警示；交易日为 2022-04-29，期望 ST 标记为 true。 预期值：ST标记=true</t>
  </si>
  <si>
    <t>GT-H2-ST-ST_ADD-002022-20220506</t>
  </si>
  <si>
    <t>AG-064</t>
  </si>
  <si>
    <t>002022.SZ</t>
  </si>
  <si>
    <t>SZSE official announcement: *ST 科华 risk warning effective 2022-05-06</t>
  </si>
  <si>
    <t>http://disc.static.szse.cn/disc/disk02/finalpage/2022-04-30/a781efcd-39ab-4be8-9c80-0cc15863a36c.PDF</t>
  </si>
  <si>
    <t>核对官方公告是否明确 002022.SZ 自 2022-05-06 起新增 ST/风险警示；交易日为 2022-05-06，期望 ST 标记为 true。 预期值：ST标记=true</t>
  </si>
  <si>
    <t>原因：链接失效（HTTP 404）</t>
  </si>
  <si>
    <t>GT-H2-ST-ST_ADD-002086-20230505</t>
  </si>
  <si>
    <t>AG-089</t>
  </si>
  <si>
    <t>002086.SZ</t>
  </si>
  <si>
    <t>SZSE official disclosure referring to *ST 东洋 risk warning effective 2023-05-05</t>
  </si>
  <si>
    <t>https://disc.static.szse.cn/disc/disk03/finalpage/2023-12-01/d12ed6af-2ddf-4be3-9c59-050a5484375e.PDF</t>
  </si>
  <si>
    <t>核对官方公告是否明确 002086.SZ 自 2023-05-05 起新增 ST/风险警示；交易日为 2023-05-05，期望 ST 标记为 true。 预期值：ST标记=true</t>
  </si>
  <si>
    <t>GT-H2-ST-ST_ADD-002113-20200429</t>
  </si>
  <si>
    <t>AG-093</t>
  </si>
  <si>
    <t>002113.SZ</t>
  </si>
  <si>
    <t>SZSE official disclosure referring to *ST 天润 risk warning effective 2020-04-29</t>
  </si>
  <si>
    <t>http://disc.static.szse.cn/download/disc/disk02/finalpage/2021-08-26/d61cb4c7-8be7-45c6-ace7-99e1faed88e1.PDF</t>
  </si>
  <si>
    <t>核对官方公告是否明确 002113.SZ 自 2020-04-29 起新增 ST/风险警示；交易日为 2020-04-29，期望 ST 标记为 true。 预期值：ST标记=true</t>
  </si>
  <si>
    <t>GT-H2-ST-ST_ADD-002217-20240506</t>
  </si>
  <si>
    <t>AG-090</t>
  </si>
  <si>
    <t>002217.SZ</t>
  </si>
  <si>
    <t>SZSE official disclosure referring to *ST 合泰 risk warning effective 2024-05-06</t>
  </si>
  <si>
    <t>https://disc.static.szse.cn/disc/disk03/finalpage/2024-05-16/a4389dc6-97e8-4f1b-a2cc-bae0de6e5dec.PDF</t>
  </si>
  <si>
    <t>核对官方公告是否明确 002217.SZ 自 2024-05-06 起新增 ST/风险警示；交易日为 2024-05-06，期望 ST 标记为 true。 预期值：ST标记=true</t>
  </si>
  <si>
    <t>GT-H2-ST-ST_ADD-002417-20220421</t>
  </si>
  <si>
    <t>AG-063</t>
  </si>
  <si>
    <t>002417.SZ</t>
  </si>
  <si>
    <t>SZSE official announcement: *ST 深南 risk warning effective 2022-04-21</t>
  </si>
  <si>
    <t>https://disc.static.szse.cn/disc/disk03/finalpage/2022-04-20/d5512186-9d1c-4c2b-98a6-5a3d641e83a6.PDF</t>
  </si>
  <si>
    <t>核对官方公告是否明确 002417.SZ 自 2022-04-21 起新增 ST/风险警示；交易日为 2022-04-21，期望 ST 标记为 true。 预期值：ST标记=true</t>
  </si>
  <si>
    <t>GT-H2-ST-ST_ADD-002433-20230505</t>
  </si>
  <si>
    <t>AG-094</t>
  </si>
  <si>
    <t>002433.SZ</t>
  </si>
  <si>
    <t>SZSE official disclosure referring to *ST 太安 risk warning effective 2023-05-05</t>
  </si>
  <si>
    <t>https://disc.static.szse.cn/disc/disk03/finalpage/2024-04-30/20e9fe23-010b-4cd6-a0e8-cb71676efd21.PDF</t>
  </si>
  <si>
    <t>核对官方公告是否明确 002433.SZ 自 2023-05-05 起新增 ST/风险警示；交易日为 2023-05-05，期望 ST 标记为 true。 预期值：ST标记=true</t>
  </si>
  <si>
    <t>GT-H2-ST-ST_ADD-002485-20220506</t>
  </si>
  <si>
    <t>AG-070</t>
  </si>
  <si>
    <t>002485.SZ</t>
  </si>
  <si>
    <t>SZSE official announcement: *ST 雪发 risk warning effective 2022-05-06</t>
  </si>
  <si>
    <t>http://disc.static.szse.cn/disc/disk03/finalpage/2022-04-30/4cb2d78e-0ec1-4c86-93b9-0d7e08127e5e.PDF</t>
  </si>
  <si>
    <t>核对官方公告是否明确 002485.SZ 自 2022-05-06 起新增 ST/风险警示；交易日为 2022-05-06，期望 ST 标记为 true。 预期值：ST标记=true</t>
  </si>
  <si>
    <t>GT-H2-ST-ST_ADD-002781-20220506</t>
  </si>
  <si>
    <t>AG-095</t>
  </si>
  <si>
    <t>002781.SZ</t>
  </si>
  <si>
    <t>SZSE official disclosure referring to *ST 奇信 risk warning effective 2022-05-06</t>
  </si>
  <si>
    <t>https://disc.static.szse.cn/disc/disk03/finalpage/2022-11-18/d507ec79-4364-4159-b566-3b52c4df5c48.PDF</t>
  </si>
  <si>
    <t>核对官方公告是否明确 002781.SZ 自 2022-05-06 起新增 ST/风险警示；交易日为 2022-05-06，期望 ST 标记为 true。 预期值：ST标记=true</t>
  </si>
  <si>
    <t>GT-H2-ST-ST_ADD-300064-20210428</t>
  </si>
  <si>
    <t>AG-068</t>
  </si>
  <si>
    <t>300064.SZ</t>
  </si>
  <si>
    <t>SZSE official announcement: *ST 金刚 risk warning effective 2021-04-28</t>
  </si>
  <si>
    <t>http://disc.static.szse.cn/download/disc/disk02/finalpage/2021-04-27/853620b1-b4a9-432d-9ee8-d8dcefd821d6.PDF</t>
  </si>
  <si>
    <t>核对官方公告是否明确 300064.SZ 自 2021-04-28 起新增 ST/风险警示；交易日为 2021-04-28，期望 ST 标记为 true。 预期值：ST标记=true</t>
  </si>
  <si>
    <t>GT-H2-ST-ST_ADD-300108-20240430</t>
  </si>
  <si>
    <t>AG-091</t>
  </si>
  <si>
    <t>300108.SZ</t>
  </si>
  <si>
    <t>SZSE official disclosure referring to *ST 吉药 risk warning effective 2024-04-30</t>
  </si>
  <si>
    <t>https://disc.static.szse.cn/disc/disk03/finalpage/2025-03-10/cfd76336-3ab7-4c6d-8e17-8fdb4fe8c447.PDF</t>
  </si>
  <si>
    <t>核对官方公告是否明确 300108.SZ 自 2024-04-30 起新增 ST/风险警示；交易日为 2024-04-30，期望 ST 标记为 true。 预期值：ST标记=true</t>
  </si>
  <si>
    <t>GT-H2-ST-ST_ADD-300167-20240430</t>
  </si>
  <si>
    <t>AG-102</t>
  </si>
  <si>
    <t>300167.SZ</t>
  </si>
  <si>
    <t>SZSE official disclosure referring to *ST 迪威风险警示 effective 2024-04-30</t>
  </si>
  <si>
    <t>https://disc.static.szse.cn/disc/disk03/finalpage/2025-04-29/30ec3b9a-dd82-4aaf-bf05-273e9edcb2a0.pdf</t>
  </si>
  <si>
    <t>核对官方公告是否明确 300167.SZ 自 2024-04-30 起新增 ST/风险警示；交易日为 2024-04-30，期望 ST 标记为 true。 预期值：ST标记=true</t>
  </si>
  <si>
    <t>GT-H2-ST-ST_ADD-300208-20240430</t>
  </si>
  <si>
    <t>AG-060</t>
  </si>
  <si>
    <t>300208.SZ</t>
  </si>
  <si>
    <t>SZSE official announcement: *ST 中程 risk warning effective 2024-04-30</t>
  </si>
  <si>
    <t>https://disc.static.szse.cn/disc/disk03/finalpage/2024-04-26/97177b91-6c27-437c-83e0-3c52d2f7b729.PDF</t>
  </si>
  <si>
    <t>核对官方公告是否明确 300208.SZ 自 2024-04-30 起新增 ST/风险警示；交易日为 2024-04-30，期望 ST 标记为 true。 预期值：ST标记=true</t>
  </si>
  <si>
    <t>GT-H2-ST-ST_ADD-300209-20240429</t>
  </si>
  <si>
    <t>AG-097</t>
  </si>
  <si>
    <t>300209.SZ</t>
  </si>
  <si>
    <t>SZSE official disclosure referring to *ST 有树 risk warning effective 2024-04-29</t>
  </si>
  <si>
    <t>https://disc.static.szse.cn/disc/disk03/finalpage/2025-04-17/16f33a70-834e-42b8-a894-d8b5abe35535.pdf</t>
  </si>
  <si>
    <t>核对官方公告是否明确 300209.SZ 自 2024-04-29 起新增 ST/风险警示；交易日为 2024-04-29，期望 ST 标记为 true。 预期值：ST标记=true</t>
  </si>
  <si>
    <t>GT-H2-ST-ST_ADD-300297-20220429</t>
  </si>
  <si>
    <t>AG-065</t>
  </si>
  <si>
    <t>300297.SZ</t>
  </si>
  <si>
    <t>SZSE official announcement: *ST 蓝盾 risk warning effective 2022-04-29</t>
  </si>
  <si>
    <t>https://disc.static.szse.cn/disc/disk03/finalpage/2023-03-28/39fe9657-2530-48aa-9ff9-98cac5f2e15e.PDF</t>
  </si>
  <si>
    <t>核对官方公告是否明确 300297.SZ 自 2022-04-29 起新增 ST/风险警示；交易日为 2022-04-29，期望 ST 标记为 true。 预期值：ST标记=true</t>
  </si>
  <si>
    <t>GT-H2-ST-ST_ADD-300312-20210429</t>
  </si>
  <si>
    <t>AG-067</t>
  </si>
  <si>
    <t>300312.SZ</t>
  </si>
  <si>
    <t>SZSE official announcement: *ST 邦讯 risk warning effective 2021-04-29</t>
  </si>
  <si>
    <t>http://disc.static.szse.cn/download/disc/disk02/finalpage/2021-04-28/3a1e7c33-47d7-43d3-ba85-203b8221353e.PDF</t>
  </si>
  <si>
    <t>核对官方公告是否明确 300312.SZ 自 2021-04-29 起新增 ST/风险警示；交易日为 2021-04-29，期望 ST 标记为 true。 预期值：ST标记=true</t>
  </si>
  <si>
    <t>GT-H2-ST-ST_ADD-300330-20220808</t>
  </si>
  <si>
    <t>AG-066</t>
  </si>
  <si>
    <t>300330.SZ</t>
  </si>
  <si>
    <t>SZSE official announcement: *ST 计通 risk warning effective 2022-08-08</t>
  </si>
  <si>
    <t>https://disc.static.szse.cn/disc/disk03/finalpage/2022-08-05/832ecade-fa63-42d8-8520-388cdd3930cd.PDF</t>
  </si>
  <si>
    <t>核对官方公告是否明确 300330.SZ 自 2022-08-08 起新增 ST/风险警示；交易日为 2022-08-08，期望 ST 标记为 true。 预期值：ST标记=true</t>
  </si>
  <si>
    <t>GT-H2-ST-ST_ADD-300336-20220429</t>
  </si>
  <si>
    <t>AG-061</t>
  </si>
  <si>
    <t>300336.SZ</t>
  </si>
  <si>
    <t>SZSE official announcement: *ST 新文 risk warning effective 2022-04-29</t>
  </si>
  <si>
    <t>https://disc.static.szse.cn/disc/disk03/finalpage/2023-01-30/58a93ed7-8b2f-4587-b43a-e9493b9daa60.PDF</t>
  </si>
  <si>
    <t>核对官方公告是否明确 300336.SZ 自 2022-04-29 起新增 ST/风险警示；交易日为 2022-04-29，期望 ST 标记为 true。 预期值：ST标记=true</t>
  </si>
  <si>
    <t>GT-H2-ST-ST_ADD-300506-20240429</t>
  </si>
  <si>
    <t>AG-092</t>
  </si>
  <si>
    <t>300506.SZ</t>
  </si>
  <si>
    <t>SZSE official disclosure referring to *ST 名家汇 risk warning effective 2024-04-29</t>
  </si>
  <si>
    <t>https://disc.static.szse.cn/disc/disk03/finalpage/2025-03-20/cd19ee3f-0bc9-4e4b-9477-af6b6fab7c4b.pdf</t>
  </si>
  <si>
    <t>核对官方公告是否明确 300506.SZ 自 2024-04-29 起新增 ST/风险警示；交易日为 2024-04-29，期望 ST 标记为 true。 预期值：ST标记=true</t>
  </si>
  <si>
    <t>GT-H2-ST-ST_ADD-300742-20230504</t>
  </si>
  <si>
    <t>AG-101</t>
  </si>
  <si>
    <t>300742.SZ</t>
  </si>
  <si>
    <t>SZSE official disclosure referring to *ST 越博 risk warning effective 2023-05-04</t>
  </si>
  <si>
    <t>https://disc.static.szse.cn/disc/disk03/finalpage/2024-05-08/f32b3983-feec-44e5-ba43-1bf9ec15cf84.pdf</t>
  </si>
  <si>
    <t>核对官方公告是否明确 300742.SZ 自 2023-05-04 起新增 ST/风险警示；交易日为 2023-05-04，期望 ST 标记为 true。 预期值：ST标记=true</t>
  </si>
  <si>
    <t>GT-H2-ST-ST_ADD-300965-20240429</t>
  </si>
  <si>
    <t>AG-096</t>
  </si>
  <si>
    <t>300965.SZ</t>
  </si>
  <si>
    <t>SZSE official disclosure referring to *ST 恒宇 risk warning effective 2024-04-29</t>
  </si>
  <si>
    <t>https://disc.static.szse.cn/disc/disk03/finalpage/2025-04-11/d1f5b09c-3741-4e64-8984-a65441b01dd1.pdf</t>
  </si>
  <si>
    <t>核对官方公告是否明确 300965.SZ 自 2024-04-29 起新增 ST/风险警示；交易日为 2024-04-29，期望 ST 标记为 true。 预期值：ST标记=true</t>
  </si>
  <si>
    <t>原因：日期不一致（原文写自2024-04-26起实施退市风险警示，非2024-04-29）</t>
  </si>
  <si>
    <t>GT-H2-ST-ST_ADD-600077-20230505</t>
  </si>
  <si>
    <t>AG-032</t>
  </si>
  <si>
    <t>600077.SH</t>
  </si>
  <si>
    <t>SSE_ANNOUNCEMENT</t>
  </si>
  <si>
    <t>SSE company announcement: 宋都股份 risk-warning implementation effective 2023-05-05</t>
  </si>
  <si>
    <t>https://static.sse.com.cn/disclosure/listedinfo/announcement/c/new/2023-04-29/600077_20230429_PNOI.pdf</t>
  </si>
  <si>
    <t>核对官方公告是否明确 600077.SH 自 2023-05-05 起新增 ST/风险警示；交易日为 2023-05-05，期望 ST 标记为 true。 预期值：ST标记=true</t>
  </si>
  <si>
    <t>GT-H2-ST-ST_ADD-600213-20240506</t>
  </si>
  <si>
    <t>AG-051</t>
  </si>
  <si>
    <t>600213.SH</t>
  </si>
  <si>
    <t>SSE official risk-warning adjustment list: 600213 effective 2024-05-06</t>
  </si>
  <si>
    <t>https://www.sse.com.cn/disclosure/magin/announcement/ssereport/c/c_20240430_10753871.shtml</t>
  </si>
  <si>
    <t>核对官方公告是否明确 600213.SH 自 2024-05-06 起新增 ST/风险警示；交易日为 2024-05-06，期望 ST 标记为 true。 预期值：ST标记=true</t>
  </si>
  <si>
    <t>GT-H2-ST-ST_ADD-600466-20230504</t>
  </si>
  <si>
    <t>AG-037</t>
  </si>
  <si>
    <t>600466.SH</t>
  </si>
  <si>
    <t>SSE company announcement: 蓝光发展 risk-warning implementation effective 2023-05-04</t>
  </si>
  <si>
    <t>https://static.sse.com.cn/disclosure/listedinfo/announcement/c/new/2023-04-28/600466_20230428_CP1N.pdf</t>
  </si>
  <si>
    <t>核对官方公告是否明确 600466.SH 自 2023-05-04 起新增 ST/风险警示；交易日为 2023-05-04，期望 ST 标记为 true。 预期值：ST标记=true</t>
  </si>
  <si>
    <t>GT-H2-ST-ST_ADD-600543-20230504</t>
  </si>
  <si>
    <t>AG-036</t>
  </si>
  <si>
    <t>600543.SH</t>
  </si>
  <si>
    <t>SSE company announcement: 莫高股份 risk-warning implementation effective 2023-05-04</t>
  </si>
  <si>
    <t>https://static.sse.com.cn/disclosure/listedinfo/announcement/c/new/2023-04-28/600543_20230428_TL0Y.pdf</t>
  </si>
  <si>
    <t>核对官方公告是否明确 600543.SH 自 2023-05-04 起新增 ST/风险警示；交易日为 2023-05-04，期望 ST 标记为 true。 预期值：ST标记=true</t>
  </si>
  <si>
    <t>GT-H2-ST-ST_ADD-600593-20210722</t>
  </si>
  <si>
    <t>AG-038</t>
  </si>
  <si>
    <t>600593.SH</t>
  </si>
  <si>
    <t>SSE official announcement: 600593 risk warning effective 2021-07-22</t>
  </si>
  <si>
    <t>http://www.sse.com.cn/disclosure/announcement/general/c/c_20210720_5526013.shtml</t>
  </si>
  <si>
    <t>核对官方公告是否明确 600593.SH 自 2021-07-22 起新增 ST/风险警示；交易日为 2021-07-22，期望 ST 标记为 true。 预期值：ST标记=true</t>
  </si>
  <si>
    <t>GT-H2-ST-ST_ADD-600654-20220506</t>
  </si>
  <si>
    <t>AG-030</t>
  </si>
  <si>
    <t>600654.SH</t>
  </si>
  <si>
    <t>SSE company announcement: ST 中安 risk-warning implementation effective 2022-05-06</t>
  </si>
  <si>
    <t>https://static.sse.com.cn/disclosure/listedinfo/announcement/c/new/2022-05-05/600654_20220505_1_dNOo6yTW.pdf</t>
  </si>
  <si>
    <t>核对官方公告是否明确 600654.SH 自 2022-05-06 起新增 ST/风险警示；交易日为 2022-05-06，期望 ST 标记为 true。 预期值：ST标记=true</t>
  </si>
  <si>
    <t>GT-H2-ST-ST_ADD-601258-20230505</t>
  </si>
  <si>
    <t>AG-033</t>
  </si>
  <si>
    <t>601258.SH</t>
  </si>
  <si>
    <t>SSE company announcement: 庞大集团 risk-warning implementation effective 2023-05-05</t>
  </si>
  <si>
    <t>https://static.sse.com.cn/disclosure/listedinfo/announcement/c/new/2023-04-29/601258_20230429_KZL0.pdf</t>
  </si>
  <si>
    <t>核对官方公告是否明确 601258.SH 自 2023-05-05 起新增 ST/风险警示；交易日为 2023-05-05，期望 ST 标记为 true。 预期值：ST标记=true</t>
  </si>
  <si>
    <t>GT-H2-ST-ST_ADD-603363-20240506</t>
  </si>
  <si>
    <t>AG-052</t>
  </si>
  <si>
    <t>603363.SH</t>
  </si>
  <si>
    <t>SSE official risk-warning adjustment list: 603363 effective 2024-05-06</t>
  </si>
  <si>
    <t>核对官方公告是否明确 603363.SH 自 2024-05-06 起新增 ST/风险警示；交易日为 2024-05-06，期望 ST 标记为 true。 预期值：ST标记=true</t>
  </si>
  <si>
    <t>GT-H2-ST-ST_ADD-603963-20240429</t>
  </si>
  <si>
    <t>AG-031</t>
  </si>
  <si>
    <t>603963.SH</t>
  </si>
  <si>
    <t>SSE company announcement: 大理药业 risk-warning implementation effective 2024-04-29</t>
  </si>
  <si>
    <t>https://static.sse.com.cn/disclosure/listedinfo/announcement/c/new/2024-04-26/603963_20240426_ZG5D.pdf</t>
  </si>
  <si>
    <t>核对官方公告是否明确 603963.SH 自 2024-04-29 起新增 ST/风险警示；交易日为 2024-04-29，期望 ST 标记为 true。 预期值：ST标记=true</t>
  </si>
  <si>
    <t>GT-H2-ST-ST_REMOVE-000007-20220701</t>
  </si>
  <si>
    <t>AG-071</t>
  </si>
  <si>
    <t>000007.SZ</t>
  </si>
  <si>
    <t>SZSE official announcement: 000007 *ST removal effective 2022-07-01</t>
  </si>
  <si>
    <t>https://disc.static.szse.cn/disc/disk03/finalpage/2022-06-30/7de6ae82-da34-47da-a35b-71cbb965c01e.PDF</t>
  </si>
  <si>
    <t>核对官方公告是否明确 000007.SZ 自 2022-07-01 起撤销 ST/风险警示；交易日为 2022-07-01，期望 ST 标记为 true。 预期值：ST标记=false</t>
  </si>
  <si>
    <t>GT-H2-ST-ST_REMOVE-000408-20210512</t>
  </si>
  <si>
    <t>AG-072</t>
  </si>
  <si>
    <t>000408.SZ</t>
  </si>
  <si>
    <t>SZSE official announcement: 000408 *ST removal effective 2021-05-12</t>
  </si>
  <si>
    <t>https://disc.static.szse.cn/disc/disk02/finalpage/2021-05-11/f9006990-ffd3-40bb-9cb9-be8dc0511516.PDF</t>
  </si>
  <si>
    <t>核对官方公告是否明确 000408.SZ 自 2021-05-12 起撤销 ST/风险警示；交易日为 2021-05-12，期望 ST 标记为 true。 预期值：ST标记=false</t>
  </si>
  <si>
    <t>GT-H2-ST-ST_REMOVE-002021-20240603</t>
  </si>
  <si>
    <t>AG-073</t>
  </si>
  <si>
    <t>002021.SZ</t>
  </si>
  <si>
    <t>SZSE official announcement: 002021 *ST removal effective 2024-06-03</t>
  </si>
  <si>
    <t>https://disc.static.szse.cn/disc/disk03/finalpage/2024-05-31/09907ab2-b9f4-4891-bfb4-21ed2cfa090d.PDF</t>
  </si>
  <si>
    <t>核对官方公告是否明确 002021.SZ 自 2024-06-03 起撤销 ST/风险警示；交易日为 2024-06-03，期望 ST 标记为 true。 预期值：ST标记=false</t>
  </si>
  <si>
    <t>GT-H2-ST-ST_REMOVE-002022-20230404</t>
  </si>
  <si>
    <t>AG-104</t>
  </si>
  <si>
    <t>SZSE official disclosure referring to 002022 *ST removal effective 2023-04-04</t>
  </si>
  <si>
    <t>https://disc.static.szse.cn/disc/disk03/finalpage/2024-03-22/e0b014e3-3416-4526-9063-9845e9e42a6f.PDF</t>
  </si>
  <si>
    <t>核对官方公告是否明确 002022.SZ 自 2023-04-04 起撤销 ST/风险警示；交易日为 2023-04-04，期望 ST 标记为 true。 预期值：ST标记=false</t>
  </si>
  <si>
    <t>GT-H2-ST-ST_REMOVE-002058-20220523</t>
  </si>
  <si>
    <t>AG-074</t>
  </si>
  <si>
    <t>002058.SZ</t>
  </si>
  <si>
    <t>SZSE official announcement: 002058 *ST removal effective 2022-05-23</t>
  </si>
  <si>
    <t>https://disc.static.szse.cn/disc/disk03/finalpage/2022-05-20/9ac63995-9ddd-4dca-ada2-f9fd0ead9e60.PDF</t>
  </si>
  <si>
    <t>核对官方公告是否明确 002058.SZ 自 2022-05-23 起撤销 ST/风险警示；交易日为 2022-05-23，期望 ST 标记为 true。 预期值：ST标记=false</t>
  </si>
  <si>
    <t>GT-H2-ST-ST_REMOVE-002086-20240612</t>
  </si>
  <si>
    <t>AG-075</t>
  </si>
  <si>
    <t>SZSE official announcement: 002086 *ST removal effective 2024-06-12</t>
  </si>
  <si>
    <t>https://disc.static.szse.cn/disc/disk03/finalpage/2024-06-07/cb052454-f6db-44e0-a320-079c4c14c864.PDF</t>
  </si>
  <si>
    <t>核对官方公告是否明确 002086.SZ 自 2024-06-12 起撤销 ST/风险警示；交易日为 2024-06-12，期望 ST 标记为 true。 预期值：ST标记=false</t>
  </si>
  <si>
    <t>GT-H2-ST-ST_REMOVE-002482-20240618</t>
  </si>
  <si>
    <t>AG-076</t>
  </si>
  <si>
    <t>002482.SZ</t>
  </si>
  <si>
    <t>SZSE official announcement: 002482 full *ST removal effective 2024-06-18</t>
  </si>
  <si>
    <t>https://disc.static.szse.cn/disc/disk03/finalpage/2024-06-14/11ae7c86-7e5d-4eba-9e5d-6bd0c31767db.PDF</t>
  </si>
  <si>
    <t>核对官方公告是否明确 002482.SZ 自 2024-06-18 起撤销 ST/风险警示；交易日为 2024-06-18，期望 ST 标记为 true。 预期值：ST标记=false</t>
  </si>
  <si>
    <t>GT-H2-ST-ST_REMOVE-002513-20210621</t>
  </si>
  <si>
    <t>AG-077</t>
  </si>
  <si>
    <t>002513.SZ</t>
  </si>
  <si>
    <t>SZSE official announcement: 002513 *ST removal effective 2021-06-21</t>
  </si>
  <si>
    <t>https://disc.static.szse.cn/disc/disk02/finalpage/2021-06-18/0acbdccf-207a-4bab-a5fb-a6bf8d8c515a.PDF</t>
  </si>
  <si>
    <t>核对官方公告是否明确 002513.SZ 自 2021-06-21 起撤销 ST/风险警示；交易日为 2021-06-21，期望 ST 标记为 true。 预期值：ST标记=false</t>
  </si>
  <si>
    <t>GT-H2-ST-ST_REMOVE-300010-20240613</t>
  </si>
  <si>
    <t>AG-078</t>
  </si>
  <si>
    <t>300010.SZ</t>
  </si>
  <si>
    <t>SZSE official announcement: 300010 *ST removal effective 2024-06-13</t>
  </si>
  <si>
    <t>https://disc.static.szse.cn/disc/disk03/finalpage/2024-06-12/f438ff5f-8b32-4d10-aaab-a8598162ef43.PDF</t>
  </si>
  <si>
    <t>核对官方公告是否明确 300010.SZ 自 2024-06-13 起撤销 ST/风险警示；交易日为 2024-06-13，期望 ST 标记为 true。 预期值：ST标记=false</t>
  </si>
  <si>
    <t>GT-H2-ST-ST_REMOVE-300209-20250513</t>
  </si>
  <si>
    <t>AG-079</t>
  </si>
  <si>
    <t>SZSE official announcement: 300209 *ST removal effective 2025-05-13</t>
  </si>
  <si>
    <t>https://disc.static.szse.cn/disc/disk03/finalpage/2025-05-09/f2d85e09-1b78-42bc-a128-f1862d6b0fe9.PDF</t>
  </si>
  <si>
    <t>核对官方公告是否明确 300209.SZ 自 2025-05-13 起撤销 ST/风险警示；交易日为 2025-05-13，期望 ST 标记为 true。 预期值：ST标记=false</t>
  </si>
  <si>
    <t>GT-H2-ST-ST_REMOVE-300965-20250506</t>
  </si>
  <si>
    <t>AG-080</t>
  </si>
  <si>
    <t>SZSE official announcement: 300965 *ST removal effective 2025-05-06</t>
  </si>
  <si>
    <t>https://disc.static.szse.cn/disc/disk03/finalpage/2025-04-30/d8e3ad5c-377f-4d9c-8d6c-31a510424ff8.PDF</t>
  </si>
  <si>
    <t>核对官方公告是否明确 300965.SZ 自 2025-05-06 起撤销 ST/风险警示；交易日为 2025-05-06，期望 ST 标记为 true。 预期值：ST标记=false</t>
  </si>
  <si>
    <t>GT-H2-ST-STAR_ST_ADD-688282-20240506</t>
  </si>
  <si>
    <t>AG-053</t>
  </si>
  <si>
    <t>688282.SH</t>
  </si>
  <si>
    <t>SSE official risk-warning adjustment list: STAR 688282 effective 2024-05-06</t>
  </si>
  <si>
    <t>核对官方公告是否明确 688282.SH 自 2024-05-06 起新增 ST/风险警示；交易日为 2024-05-06，期望 ST 标记为 true。 预期值：ST标记=true</t>
  </si>
  <si>
    <t>GT-H2-ST-STAR_ST_ADD-688500-20230505</t>
  </si>
  <si>
    <t>AG-034</t>
  </si>
  <si>
    <t>688500.SH</t>
  </si>
  <si>
    <t>SSE company announcement: 慧辰股份 risk-warning implementation effective 2023-05-05</t>
  </si>
  <si>
    <t>https://static.sse.com.cn/disclosure/listedinfo/announcement/c/new/2023-04-29/688500_20230429_MZM6.pdf</t>
  </si>
  <si>
    <t>核对官方公告是否明确 688500.SH 自 2023-05-05 起新增 ST/风险警示；交易日为 2023-05-05，期望 ST 标记为 true。 预期值：ST标记=true</t>
  </si>
  <si>
    <t>GT-H2-ST-STAR_ST_REMOVE-688500-20240611</t>
  </si>
  <si>
    <t>AG-035</t>
  </si>
  <si>
    <t>SSE company announcement: 慧辰股份 risk-warning removal effective 2024-06-11</t>
  </si>
  <si>
    <t>https://static.sse.com.cn/disclosure/listedinfo/announcement/c/new/2024-06-07/688500_20240607_1TNQ.pdf</t>
  </si>
  <si>
    <t>核对官方公告是否明确 688500.SH 自 2024-06-11 起撤销 ST/风险警示；交易日为 2024-06-11，期望 ST 标记为 true。 预期值：ST标记=false</t>
  </si>
  <si>
    <t>GT-H2-DELIST-000540-20230630</t>
  </si>
  <si>
    <t>AG-081</t>
  </si>
  <si>
    <t>SZSE official delisting notice: 000540摘牌 2023-06-30</t>
  </si>
  <si>
    <t>https://disc.static.szse.cn/disc/disk03/finalpage/2023-06-28/2d0e5c9f-a6d7-4c00-9ac2-bf286ba715b8.PDF</t>
  </si>
  <si>
    <t>核对官方退市/终止上市/摘牌文件是否明确 000540.SZ 生效或摘牌日期为 2023-06-30；交易日为 2023-06-30，上市状态应为 3。 预期值：上市状态=3</t>
  </si>
  <si>
    <t>GT-H2-DELIST-000611-20220628</t>
  </si>
  <si>
    <t>AG-082</t>
  </si>
  <si>
    <t>000611.SZ</t>
  </si>
  <si>
    <t>SZSE official delisting notice: 000611摘牌 2022-06-28</t>
  </si>
  <si>
    <t>https://disc.static.szse.cn/disc/disk03/finalpage/2022-06-28/0df4c2ca-295b-4581-a172-094d8cae8425.PDF</t>
  </si>
  <si>
    <t>核对官方退市/终止上市/摘牌文件是否明确 000611.SZ 生效或摘牌日期为 2022-06-28；交易日为 2022-06-28，上市状态应为 3。 预期值：上市状态=3</t>
  </si>
  <si>
    <t>GT-H2-DELIST-000982-20240812</t>
  </si>
  <si>
    <t>AG-083</t>
  </si>
  <si>
    <t>000982.SZ</t>
  </si>
  <si>
    <t>SZSE official delisting notice: 000982摘牌 2024-08-12</t>
  </si>
  <si>
    <t>https://disc.static.szse.cn/disc/disk03/finalpage/2024-08-12/c552bbd6-8940-49ef-bbd0-c2c83a3ece6d.PDF</t>
  </si>
  <si>
    <t>核对官方退市/终止上市/摘牌文件是否明确 000982.SZ 生效或摘牌日期为 2024-08-12；交易日为 2024-08-12，上市状态应为 3。 预期值：上市状态=3</t>
  </si>
  <si>
    <t>GT-H2-DELIST-002118-20230804</t>
  </si>
  <si>
    <t>AG-084</t>
  </si>
  <si>
    <t>002118.SZ</t>
  </si>
  <si>
    <t>SZSE official delisting notice: 002118摘牌 2023-08-04</t>
  </si>
  <si>
    <t>http://disc.static.szse.cn/disc/disk03/finalpage/2023-07-31/44450b39-f154-45b0-a05f-4878f0c55261.PDF</t>
  </si>
  <si>
    <t>核对官方退市/终止上市/摘牌文件是否明确 002118.SZ 生效或摘牌日期为 2023-08-04；交易日为 2023-08-04，上市状态应为 3。 预期值：上市状态=3</t>
  </si>
  <si>
    <t>GT-H2-DELIST-002610-20240812</t>
  </si>
  <si>
    <t>AG-085</t>
  </si>
  <si>
    <t>002610.SZ</t>
  </si>
  <si>
    <t>SZSE official delisting notice: 002610摘牌 2024-08-12</t>
  </si>
  <si>
    <t>https://disc.static.szse.cn/disc/disk03/finalpage/2024-08-09/1dc535d8-fbe2-42bb-bab6-cd90d0e12e64.PDF</t>
  </si>
  <si>
    <t>核对官方退市/终止上市/摘牌文件是否明确 002610.SZ 生效或摘牌日期为 2024-08-12；交易日为 2024-08-12，上市状态应为 3。 预期值：上市状态=3</t>
  </si>
  <si>
    <t>GT-H2-DELIST-300064-20220627</t>
  </si>
  <si>
    <t>AG-086</t>
  </si>
  <si>
    <t>SZSE official delisting notice: 300064摘牌 2022-06-27</t>
  </si>
  <si>
    <t>https://disc.static.szse.cn/disc/disk03/finalpage/2022-06-27/286a098f-56a5-4a5b-8e0d-1953eebf9f2f.PDF</t>
  </si>
  <si>
    <t>核对官方退市/终止上市/摘牌文件是否明确 300064.SZ 生效或摘牌日期为 2022-06-27；交易日为 2022-06-27，上市状态应为 3。 预期值：上市状态=3</t>
  </si>
  <si>
    <t>GT-H2-DELIST-300208-20250721</t>
  </si>
  <si>
    <t>AG-087</t>
  </si>
  <si>
    <t>SZSE official delisting notice: 300208摘牌 2025-07-21</t>
  </si>
  <si>
    <t>https://disc.static.szse.cn/disc/disk03/finalpage/2025-07-18/ff3f8315-18fd-48e8-a473-545bcb5a0a67.PDF</t>
  </si>
  <si>
    <t>核对官方退市/终止上市/摘牌文件是否明确 300208.SZ 生效或摘牌日期为 2025-07-21；交易日为 2025-07-21，上市状态应为 3。 预期值：上市状态=3</t>
  </si>
  <si>
    <t>GT-H2-DELIST-300273-20230706</t>
  </si>
  <si>
    <t>AG-088</t>
  </si>
  <si>
    <t>300273.SZ</t>
  </si>
  <si>
    <t>SZSE official delisting notice: 300273摘牌 2023-07-06</t>
  </si>
  <si>
    <t>https://disc.static.szse.cn/disc/disk03/finalpage/2023-07-05/776889cd-c8c1-48fb-b1a4-d0cf4819e8fd.PDF</t>
  </si>
  <si>
    <t>核对官方退市/终止上市/摘牌文件是否明确 300273.SZ 生效或摘牌日期为 2023-07-06；交易日为 2023-07-06，上市状态应为 3。 预期值：上市状态=3</t>
  </si>
  <si>
    <t>GT-H2-DELIST-600068-20210913</t>
  </si>
  <si>
    <t>AG-041</t>
  </si>
  <si>
    <t>600068.SH</t>
  </si>
  <si>
    <t>SSE official delisting notice: 600068终止上市 effective 2021-09-13</t>
  </si>
  <si>
    <t>http://www.sse.com.cn/disclosure/announcement/listing/stock/c/c_20210909_82957014.shtml</t>
  </si>
  <si>
    <t>核对官方退市/终止上市/摘牌文件是否明确 600068.SH 生效或摘牌日期为 2021-09-13；交易日为 2021-09-13，上市状态应为 3。 预期值：上市状态=3</t>
  </si>
  <si>
    <t>GT-H2-DELIST-600093-20220623</t>
  </si>
  <si>
    <t>AG-042</t>
  </si>
  <si>
    <t>600093.SH</t>
  </si>
  <si>
    <t>SSE official delisting notice: 600093摘牌 2022-06-23</t>
  </si>
  <si>
    <t>http://www.sse.com.cn/disclosure/announcement/listing/stock/c/c_20220616_85759277.shtml</t>
  </si>
  <si>
    <t>核对官方退市/终止上市/摘牌文件是否明确 600093.SH 生效或摘牌日期为 2022-06-23；交易日为 2022-06-23，上市状态应为 3。 预期值：上市状态=3</t>
  </si>
  <si>
    <t>GT-H2-DELIST-600145-20220428</t>
  </si>
  <si>
    <t>AG-043</t>
  </si>
  <si>
    <t>600145.SH</t>
  </si>
  <si>
    <t>SSE official delisting notice: 600145摘牌 2022-04-28</t>
  </si>
  <si>
    <t>https://www.sse.com.cn/disclosure/announcement/listing/stock/c/c_20220421_84964449.shtml</t>
  </si>
  <si>
    <t>核对官方退市/终止上市/摘牌文件是否明确 600145.SH 生效或摘牌日期为 2022-04-28；交易日为 2022-04-28，上市状态应为 3。 预期值：上市状态=3</t>
  </si>
  <si>
    <t>GT-H2-DELIST-600190-20250725</t>
  </si>
  <si>
    <t>AG-044</t>
  </si>
  <si>
    <t>600190.SH</t>
  </si>
  <si>
    <t>SSE official delisting notice: 600190摘牌 2025-07-25</t>
  </si>
  <si>
    <t>https://www.sse.com.cn/disclosure/announcement/listing/stock/c/c_20250718_10785880.shtml</t>
  </si>
  <si>
    <t>核对官方退市/终止上市/摘牌文件是否明确 600190.SH 生效或摘牌日期为 2025-07-25；交易日为 2025-07-25，上市状态应为 3。 预期值：上市状态=3</t>
  </si>
  <si>
    <t>GT-H2-DELIST-600225-20250306</t>
  </si>
  <si>
    <t>AG-045</t>
  </si>
  <si>
    <t>600225.SH</t>
  </si>
  <si>
    <t>SSE official delisting notice: 600225摘牌 2025-03-06</t>
  </si>
  <si>
    <t>https://www.sse.com.cn/disclosure/announcement/listing/stock/c/c_20250227_10773066.shtml</t>
  </si>
  <si>
    <t>核对官方退市/终止上市/摘牌文件是否明确 600225.SH 生效或摘牌日期为 2025-03-06；交易日为 2025-03-06，上市状态应为 3。 预期值：上市状态=3</t>
  </si>
  <si>
    <t>GT-H2-DELIST-600421-20260626</t>
  </si>
  <si>
    <t>AG-046</t>
  </si>
  <si>
    <t>600421.SH</t>
  </si>
  <si>
    <t>SSE official delisting notice: 600421摘牌 2026-06-26</t>
  </si>
  <si>
    <t>https://www.sse.com.cn/disclosure/announcement/listing/stock/c/c_20260622_10823158.shtml</t>
  </si>
  <si>
    <t>核对官方退市/终止上市/摘牌文件是否明确 600421.SH 生效或摘牌日期为 2026-06-26；交易日为 2026-06-26，上市状态应为 3。 预期值：上市状态=3</t>
  </si>
  <si>
    <t>GT-H2-DELIST-600462-20250721</t>
  </si>
  <si>
    <t>AG-047</t>
  </si>
  <si>
    <t>600462.SH</t>
  </si>
  <si>
    <t>SSE official delisting notice: 600462摘牌 2025-07-21</t>
  </si>
  <si>
    <t>https://www.sse.com.cn/disclosure/announcement/listing/stock/c/c_20250714_10784844.shtml</t>
  </si>
  <si>
    <t>核对官方退市/终止上市/摘牌文件是否明确 600462.SH 生效或摘牌日期为 2025-07-21；交易日为 2025-07-21，上市状态应为 3。 预期值：上市状态=3</t>
  </si>
  <si>
    <t>GT-H2-DELIST-600695-20220614</t>
  </si>
  <si>
    <t>AG-048</t>
  </si>
  <si>
    <t>600695.SH</t>
  </si>
  <si>
    <t>SSE official delisting notice: 600695摘牌 2022-06-14</t>
  </si>
  <si>
    <t>http://www.sse.com.cn/disclosure/announcement/listing/stock/c/c_20220607_85645623.shtml</t>
  </si>
  <si>
    <t>核对官方退市/终止上市/摘牌文件是否明确 600695.SH 生效或摘牌日期为 2022-06-14；交易日为 2022-06-14，上市状态应为 3。 预期值：上市状态=3</t>
  </si>
  <si>
    <t>GT-H2-DELIST-600781-20230628</t>
  </si>
  <si>
    <t>AG-049</t>
  </si>
  <si>
    <t>600781.SH</t>
  </si>
  <si>
    <t>SSE official delisting notice: 600781摘牌 2023-06-28</t>
  </si>
  <si>
    <t>http://www.sse.com.cn/disclosure/announcement/listing/stock/c/c_20230619_90006973.shtml</t>
  </si>
  <si>
    <t>核对官方退市/终止上市/摘牌文件是否明确 600781.SH 生效或摘牌日期为 2023-06-28；交易日为 2023-06-28，上市状态应为 3。 预期值：上市状态=3</t>
  </si>
  <si>
    <t>GT-H2-DELIST-600837-20250304</t>
  </si>
  <si>
    <t>AG-039</t>
  </si>
  <si>
    <t>600837.SH</t>
  </si>
  <si>
    <t>SSE official delisting decision: 600837终止上市 effective 2025-03-04</t>
  </si>
  <si>
    <t>https://www.sse.com.cn/disclosure/announcement/listing/stock/c/c_20250226_10773005.shtml</t>
  </si>
  <si>
    <t>核对官方退市/终止上市/摘牌文件是否明确 600837.SH 生效或摘牌日期为 2025-03-04；交易日为 2025-03-04，上市状态应为 3。 预期值：上市状态=3</t>
  </si>
  <si>
    <t>GT-H2-DELIST-601558-20200702</t>
  </si>
  <si>
    <t>AG-050</t>
  </si>
  <si>
    <t>601558.SH</t>
  </si>
  <si>
    <t>SSE official delisting notice: 601558摘牌 2020-07-02</t>
  </si>
  <si>
    <t>http://www.sse.com.cn/disclosure/announcement/listing/stock/c/c_20200623_78480676.shtml</t>
  </si>
  <si>
    <t>核对官方退市/终止上市/摘牌文件是否明确 601558.SH 生效或摘牌日期为 2020-07-02；交易日为 2020-07-02，上市状态应为 3。 预期值：上市状态=3</t>
  </si>
  <si>
    <t>GT-H2-DELIST-601989-20250905</t>
  </si>
  <si>
    <t>AG-040</t>
  </si>
  <si>
    <t>601989.SH</t>
  </si>
  <si>
    <t>SSE official delisting decision: 601989终止上市 effective 2025-09-05</t>
  </si>
  <si>
    <t>https://www.sse.com.cn/disclosure/announcement/listing/stock/c/c_20250829_10790128.shtml</t>
  </si>
  <si>
    <t>核对官方退市/终止上市/摘牌文件是否明确 601989.SH 生效或摘牌日期为 2025-09-05；交易日为 2025-09-05，上市状态应为 3。 预期值：上市状态=3</t>
  </si>
  <si>
    <t>GT-CA-000002-20220825</t>
  </si>
  <si>
    <t>AG-002</t>
  </si>
  <si>
    <t>分红除权除息</t>
  </si>
  <si>
    <t>000002.SZ</t>
  </si>
  <si>
    <t>COMPANY_ANNOUNCEMENT</t>
  </si>
  <si>
    <t>CNINFO 000002 2021 annual profit-distribution implementation announcement; ex-date 2022-08-25</t>
  </si>
  <si>
    <t>https://static.cninfo.com.cn/finalpage/2022-08-18/1214319792.PDF</t>
  </si>
  <si>
    <t>核对发行人利润分配实施公告是否明确 000002.SZ 除权除息日为 2022-08-25；期望除权除息标记为 true。 预期值：除权除息标记=true</t>
  </si>
  <si>
    <t>GT-CA-000002-20230825</t>
  </si>
  <si>
    <t>AG-003</t>
  </si>
  <si>
    <t>CNINFO 000002 2022 annual profit-distribution implementation announcement; ex-date 2023-08-25</t>
  </si>
  <si>
    <t>https://static.cninfo.com.cn/finalpage/2023-08-21/1217577962.PDF</t>
  </si>
  <si>
    <t>核对发行人利润分配实施公告是否明确 000002.SZ 除权除息日为 2023-08-25；期望除权除息标记为 true。 预期值：除权除息标记=true</t>
  </si>
  <si>
    <t>GT-CA-000333-20220602</t>
  </si>
  <si>
    <t>AG-004</t>
  </si>
  <si>
    <t>000333.SZ</t>
  </si>
  <si>
    <t>CNINFO 000333 2021 annual profit-distribution implementation announcement; ex-date 2022-06-02</t>
  </si>
  <si>
    <t>https://static.cninfo.com.cn/finalpage/2022-05-27/1213516434.PDF</t>
  </si>
  <si>
    <t>核对发行人利润分配实施公告是否明确 000333.SZ 除权除息日为 2022-06-02；期望除权除息标记为 true。 预期值：除权除息标记=true</t>
  </si>
  <si>
    <t>GT-CA-000333-20230601</t>
  </si>
  <si>
    <t>AG-005</t>
  </si>
  <si>
    <t>CNINFO 000333 2022 annual profit-distribution implementation announcement; ex-date 2023-06-01</t>
  </si>
  <si>
    <t>https://static.cninfo.com.cn/finalpage/2023-05-25/1216898601.PDF</t>
  </si>
  <si>
    <t>核对发行人利润分配实施公告是否明确 000333.SZ 除权除息日为 2023-06-01；期望除权除息标记为 true。 预期值：除权除息标记=true</t>
  </si>
  <si>
    <t>GT-CA-000651-20220805</t>
  </si>
  <si>
    <t>AG-006</t>
  </si>
  <si>
    <t>000651.SZ</t>
  </si>
  <si>
    <t>CNINFO 000651 2021 annual profit-distribution implementation announcement; ex-date 2022-08-05</t>
  </si>
  <si>
    <t>https://disc.static.szse.cn/disc/disk03/finalpage/2022-07-29/f1bcbfd5-1827-4754-813a-4daab09c217f.PDF</t>
  </si>
  <si>
    <t>核对发行人利润分配实施公告是否明确 000651.SZ 除权除息日为 2022-08-05；期望除权除息标记为 true。 预期值：除权除息标记=true</t>
  </si>
  <si>
    <t>GT-CA-000651-20230809</t>
  </si>
  <si>
    <t>AG-007</t>
  </si>
  <si>
    <t>CNINFO 000651 2022 annual profit-distribution implementation announcement; ex-date 2023-08-09</t>
  </si>
  <si>
    <t>https://static.cninfo.com.cn/finalpage/2023-08-02/1217444821.PDF</t>
  </si>
  <si>
    <t>核对发行人利润分配实施公告是否明确 000651.SZ 除权除息日为 2023-08-09；期望除权除息标记为 true。 预期值：除权除息标记=true</t>
  </si>
  <si>
    <t>GT-CA-000858-20220629</t>
  </si>
  <si>
    <t>AG-008</t>
  </si>
  <si>
    <t>000858.SZ</t>
  </si>
  <si>
    <t>CNINFO 000858 2021 annual profit-distribution implementation announcement; ex-date 2022-06-29</t>
  </si>
  <si>
    <t>https://static.cninfo.com.cn/finalpage/2022-06-22/1213776669.PDF</t>
  </si>
  <si>
    <t>核对发行人利润分配实施公告是否明确 000858.SZ 除权除息日为 2022-06-29；期望除权除息标记为 true。 预期值：除权除息标记=true</t>
  </si>
  <si>
    <t>GT-CA-000858-20230627</t>
  </si>
  <si>
    <t>AG-009</t>
  </si>
  <si>
    <t>CNINFO 000858 2022 annual profit-distribution implementation announcement; ex-date 2023-06-27</t>
  </si>
  <si>
    <t>https://static.cninfo.com.cn/finalpage/2023-06-17/1217085394.PDF</t>
  </si>
  <si>
    <t>核对发行人利润分配实施公告是否明确 000858.SZ 除权除息日为 2023-06-27；期望除权除息标记为 true。 预期值：除权除息标记=true</t>
  </si>
  <si>
    <t>GT-CA-600036-20220715</t>
  </si>
  <si>
    <t>AG-013</t>
  </si>
  <si>
    <t>SSE 600036 2021 annual profit-distribution implementation announcement; ex-date 2022-07-15</t>
  </si>
  <si>
    <t>https://static.sse.com.cn/disclosure/listedinfo/announcement/c/new/2022-07-08/600036_20220708_2_wBQHNFmu.pdf</t>
  </si>
  <si>
    <t>核对发行人利润分配实施公告是否明确 600036.SH 除权除息日为 2022-07-15；期望除权除息标记为 true。 预期值：除权除息标记=true</t>
  </si>
  <si>
    <t>GT-CA-600036-20230713</t>
  </si>
  <si>
    <t>AG-014</t>
  </si>
  <si>
    <t>SSE 600036 2022 annual profit-distribution implementation announcement; ex-date 2023-07-13</t>
  </si>
  <si>
    <t>https://static.sse.com.cn/disclosure/listedinfo/announcement/c/new/2023-07-06/600036_20230706_PLK0.pdf</t>
  </si>
  <si>
    <t>核对发行人利润分配实施公告是否明确 600036.SH 除权除息日为 2023-07-13；期望除权除息标记为 true。 预期值：除权除息标记=true</t>
  </si>
  <si>
    <t>GT-CA-600104-20220715</t>
  </si>
  <si>
    <t>AG-015</t>
  </si>
  <si>
    <t>SSE 600104 2021 annual profit-distribution implementation announcement; ex-date 2022-07-15</t>
  </si>
  <si>
    <t>https://static.sse.com.cn/disclosure/listedinfo/announcement/c/new/2022-07-08/600104_20220708_2_Cx62oZwE.pdf</t>
  </si>
  <si>
    <t>核对发行人利润分配实施公告是否明确 600104.SH 除权除息日为 2022-07-15；期望除权除息标记为 true。 预期值：除权除息标记=true</t>
  </si>
  <si>
    <t>GT-CA-600104-20230719</t>
  </si>
  <si>
    <t>AG-016</t>
  </si>
  <si>
    <t>SSE 600104 2022 annual profit-distribution implementation announcement; ex-date 2023-07-19</t>
  </si>
  <si>
    <t>https://static.sse.com.cn/disclosure/listedinfo/announcement/c/new/2023-07-12/600104_20230712_ONIE.pdf</t>
  </si>
  <si>
    <t>核对发行人利润分配实施公告是否明确 600104.SH 除权除息日为 2023-07-19；期望除权除息标记为 true。 预期值：除权除息标记=true</t>
  </si>
  <si>
    <t>GT-CA-600519-20220630</t>
  </si>
  <si>
    <t>AG-017</t>
  </si>
  <si>
    <t>SSE 600519 2021 annual profit-distribution implementation announcement; ex-date 2022-06-30</t>
  </si>
  <si>
    <t>https://static.sse.com.cn/disclosure/listedinfo/announcement/c/new/2022-06-24/600519_20220624_1_uyoZ4ubX.pdf</t>
  </si>
  <si>
    <t>核对发行人利润分配实施公告是否明确 600519.SH 除权除息日为 2022-06-30；期望除权除息标记为 true。 预期值：除权除息标记=true</t>
  </si>
  <si>
    <t>GT-CA-600519-20230630</t>
  </si>
  <si>
    <t>AG-018</t>
  </si>
  <si>
    <t>SSE 600519 2022 annual profit-distribution implementation announcement; ex-date 2023-06-30</t>
  </si>
  <si>
    <t>https://static.sse.com.cn/disclosure/listedinfo/announcement/c/new/2023-06-26/600519_20230626_V0SN.pdf</t>
  </si>
  <si>
    <t>核对发行人利润分配实施公告是否明确 600519.SH 除权除息日为 2023-06-30；期望除权除息标记为 true。 预期值：除权除息标记=true</t>
  </si>
  <si>
    <t>GT-CA-600900-20220721</t>
  </si>
  <si>
    <t>AG-019</t>
  </si>
  <si>
    <t>SSE 600900 2021 annual profit-distribution implementation announcement; ex-date 2022-07-21</t>
  </si>
  <si>
    <t>https://static.sse.com.cn/disclosure/listedinfo/announcement/c/new/2022-07-13/600900_20220713_1_zI17tKH7.pdf</t>
  </si>
  <si>
    <t>核对发行人利润分配实施公告是否明确 600900.SH 除权除息日为 2022-07-21；期望除权除息标记为 true。 预期值：除权除息标记=true</t>
  </si>
  <si>
    <t>GT-CA-600900-20230721</t>
  </si>
  <si>
    <t>AG-020</t>
  </si>
  <si>
    <t>SSE 600900 2022 annual profit-distribution implementation announcement; ex-date 2023-07-21</t>
  </si>
  <si>
    <t>https://static.sse.com.cn/disclosure/listedinfo/announcement/c/new/2023-07-17/600900_20230717_R4MO.pdf</t>
  </si>
  <si>
    <t>核对发行人利润分配实施公告是否明确 600900.SH 除权除息日为 2023-07-21；期望除权除息标记为 true。 预期值：除权除息标记=true</t>
  </si>
  <si>
    <t>GT-CA-601318-20220620</t>
  </si>
  <si>
    <t>AG-021</t>
  </si>
  <si>
    <t>SSE 601318 2021 annual profit-distribution implementation announcement; ex-date 2022-06-20</t>
  </si>
  <si>
    <t>https://static.sse.com.cn/disclosure/listedinfo/announcement/c/new/2022-06-11/601318_20220611_1_KRbdGZAx.pdf</t>
  </si>
  <si>
    <t>核对发行人利润分配实施公告是否明确 601318.SH 除权除息日为 2022-06-20；期望除权除息标记为 true。 预期值：除权除息标记=true</t>
  </si>
  <si>
    <t>GT-CA-601318-20230614</t>
  </si>
  <si>
    <t>AG-022</t>
  </si>
  <si>
    <t>SSE 601318 2022 annual profit-distribution implementation announcement; ex-date 2023-06-14</t>
  </si>
  <si>
    <t>https://static.sse.com.cn/disclosure/listedinfo/announcement/c/new/2023-06-07/601318_20230607_A9V4.pdf</t>
  </si>
  <si>
    <t>核对发行人利润分配实施公告是否明确 601318.SH 除权除息日为 2023-06-14；期望除权除息标记为 true。 预期值：除权除息标记=true</t>
  </si>
  <si>
    <t>GT-CA-601398-20220712</t>
  </si>
  <si>
    <t>AG-023</t>
  </si>
  <si>
    <t>601398.SH</t>
  </si>
  <si>
    <t>SSE 601398 2021 annual profit-distribution implementation announcement; ex-date 2022-07-12</t>
  </si>
  <si>
    <t>https://static.sse.com.cn/disclosure/listedinfo/announcement/c/new/2022-07-05/601398_20220705_1_7xXht7EQ.pdf</t>
  </si>
  <si>
    <t>核对发行人利润分配实施公告是否明确 601398.SH 除权除息日为 2022-07-12；期望除权除息标记为 true。 预期值：除权除息标记=true</t>
  </si>
  <si>
    <t>GT-CA-601398-20230717</t>
  </si>
  <si>
    <t>AG-024</t>
  </si>
  <si>
    <t>SSE 601398 2022 annual profit-distribution implementation announcement; ex-date 2023-07-17</t>
  </si>
  <si>
    <t>https://static.sse.com.cn/disclosure/listedinfo/announcement/c/new/2023-07-11/601398_20230711_UH4E.pdf</t>
  </si>
  <si>
    <t>核对发行人利润分配实施公告是否明确 601398.SH 除权除息日为 2023-07-17；期望除权除息标记为 true。 预期值：除权除息标记=true</t>
  </si>
  <si>
    <t>GT-H2-CA-RIGHT-000750-20200114</t>
  </si>
  <si>
    <t>AG-011</t>
  </si>
  <si>
    <t>配股除权</t>
  </si>
  <si>
    <t>000750.SZ</t>
  </si>
  <si>
    <t>CNINFO company announcement: 国海证券配股除权日 2020-01-14</t>
  </si>
  <si>
    <t>https://static.cninfo.com.cn/finalpage/2020-01-09/1207235277.PDF</t>
  </si>
  <si>
    <t>核对配股公告是否明确 000750.SZ 配股除权日为 2020-01-14；期望事件类型为 RIGHT_ISSUE，除权除息标记为 true。 预期值：除权除息标记=true；事件类型=RIGHT_ISSUE</t>
  </si>
  <si>
    <t>GT-H2-CA-RIGHT-002142-20211202</t>
  </si>
  <si>
    <t>AG-012</t>
  </si>
  <si>
    <t>002142.SZ</t>
  </si>
  <si>
    <t>CNINFO company announcement: 宁波银行配股除权日 2021-12-02</t>
  </si>
  <si>
    <t>http://static.cninfo.com.cn/finalpage/2021-12-02/1211763892.PDF</t>
  </si>
  <si>
    <t>核对配股公告是否明确 002142.SZ 配股除权日为 2021-12-02；期望事件类型为 RIGHT_ISSUE，除权除息标记为 true。 预期值：除权除息标记=true；事件类型=RIGHT_ISSUE</t>
  </si>
  <si>
    <t>GT-H2-CA-RIGHT-002788-20200917</t>
  </si>
  <si>
    <t>AG-058</t>
  </si>
  <si>
    <t>002788.SZ</t>
  </si>
  <si>
    <t>SZSE company announcement: 鹭燕医药配股除权日 2020-09-17</t>
  </si>
  <si>
    <t>https://disc.static.szse.cn/disc/disk02/finalpage/2020-09-17/4851a060-520a-4116-a303-00d7eb5aef65.PDF</t>
  </si>
  <si>
    <t>核对配股公告是否明确 002788.SZ 配股除权日为 2020-09-17；期望事件类型为 RIGHT_ISSUE，除权除息标记为 true。 预期值：除权除息标记=true；事件类型=RIGHT_ISSUE</t>
  </si>
  <si>
    <t>GT-H2-CA-RIGHT-300475-20230216</t>
  </si>
  <si>
    <t>AG-057</t>
  </si>
  <si>
    <t>300475.SZ</t>
  </si>
  <si>
    <t>SZSE company announcement: 香农芯创配股除权日 2023-02-16</t>
  </si>
  <si>
    <t>https://disc.static.szse.cn/disc/disk03/finalpage/2023-02-16/d2d8c9e3-0ad2-4a54-af01-e176019e9906.PDF</t>
  </si>
  <si>
    <t>核对配股公告是否明确 300475.SZ 配股除权日为 2023-02-16；期望事件类型为 RIGHT_ISSUE，除权除息标记为 true。 预期值：除权除息标记=true；事件类型=RIGHT_ISSUE</t>
  </si>
  <si>
    <t>GT-H2-CA-RIGHT-601555-20200323</t>
  </si>
  <si>
    <t>AG-010</t>
  </si>
  <si>
    <t>601555.SH</t>
  </si>
  <si>
    <t>CNINFO company announcement: 东吴证券配股除权日 2020-03-23</t>
  </si>
  <si>
    <t>https://static.cninfo.com.cn/finalpage/2020-03-23/1207391500.PDF</t>
  </si>
  <si>
    <t>核对配股公告是否明确 601555.SH 配股除权日为 2020-03-23；期望事件类型为 RIGHT_ISSUE，除权除息标记为 true。 预期值：除权除息标记=true；事件类型=RIGHT_ISSUE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</si>
</sst>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sz val="10"/>
      <color rgb="FF1F2937"/>
      <name val="宋体"/>
      <charset val="134"/>
    </font>
    <font>
      <b/>
      <sz val="16"/>
      <color rgb="FF1F2937"/>
      <name val="Arial"/>
      <charset val="134"/>
    </font>
    <font>
      <i/>
      <sz val="10"/>
      <color rgb="FF5B657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top" wrapText="1"/>
    </xf>
    <xf numFmtId="0" fontId="2" fillId="0" borderId="1" xfId="49" applyFont="1" applyBorder="1" applyAlignment="1">
      <alignment vertical="top" wrapText="1"/>
    </xf>
    <xf numFmtId="178" fontId="2" fillId="0" borderId="1" xfId="49" applyNumberFormat="1" applyFont="1" applyBorder="1" applyAlignment="1">
      <alignment horizontal="center" vertical="top" wrapText="1"/>
    </xf>
    <xf numFmtId="0" fontId="3" fillId="0" borderId="1" xfId="49" applyFont="1" applyBorder="1" applyAlignment="1">
      <alignment vertical="top" wrapText="1"/>
    </xf>
    <xf numFmtId="0" fontId="4" fillId="0" borderId="0" xfId="49" applyFont="1" applyAlignment="1">
      <alignment vertical="top" wrapText="1"/>
    </xf>
    <xf numFmtId="0" fontId="2" fillId="0" borderId="0" xfId="49" applyFont="1" applyAlignment="1">
      <alignment vertical="top" wrapText="1"/>
    </xf>
    <xf numFmtId="0" fontId="5" fillId="0" borderId="0" xfId="49" applyFont="1" applyAlignment="1">
      <alignment vertical="top" wrapText="1"/>
    </xf>
    <xf numFmtId="0" fontId="1" fillId="2" borderId="1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umanReviewTable" displayName="HumanReviewTable" ref="A4:N129" totalsRowShown="0">
  <tableColumns count="14">
    <tableColumn id="1" name="序号"/>
    <tableColumn id="2" name="案例ID"/>
    <tableColumn id="3" name="分组"/>
    <tableColumn id="4" name="事件类型"/>
    <tableColumn id="5" name="证券代码"/>
    <tableColumn id="6" name="交易日"/>
    <tableColumn id="7" name="候选材料类型"/>
    <tableColumn id="8" name="官方材料名称"/>
    <tableColumn id="9" name="官方链接"/>
    <tableColumn id="10" name="必须核对（按这一行）"/>
    <tableColumn id="11" name="结果（仅填 APPROVE/REJECT）"/>
    <tableColumn id="12" name="简短反馈（REJECT 写原因）"/>
    <tableColumn id="13" name="审阅人"/>
    <tableColumn id="14" name="审阅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4.1" outlineLevelCol="1"/>
  <cols>
    <col min="1" max="1" width="24" customWidth="1"/>
    <col min="2" max="2" width="72" customWidth="1"/>
  </cols>
  <sheetData>
    <row r="1" ht="30" customHeight="1" spans="1:2">
      <c r="A1" s="6" t="s">
        <v>0</v>
      </c>
      <c r="B1" s="7"/>
    </row>
    <row r="2" ht="28" customHeight="1" spans="1:1">
      <c r="A2" s="8" t="s">
        <v>1</v>
      </c>
    </row>
    <row r="3" ht="24" customHeight="1" spans="1:2">
      <c r="A3" s="7"/>
      <c r="B3" s="7"/>
    </row>
    <row r="4" ht="24" customHeight="1" spans="1:2">
      <c r="A4" s="3" t="s">
        <v>2</v>
      </c>
      <c r="B4" s="3">
        <v>125</v>
      </c>
    </row>
    <row r="5" ht="24" customHeight="1" spans="1:2">
      <c r="A5" s="3" t="s">
        <v>3</v>
      </c>
      <c r="B5" s="3">
        <f>COUNTIF(逐案审阅表!K5:K129,"APPROVE")+COUNTIF(逐案审阅表!K5:K129,"REJECT")</f>
        <v>125</v>
      </c>
    </row>
    <row r="6" ht="24" customHeight="1" spans="1:2">
      <c r="A6" s="3" t="s">
        <v>4</v>
      </c>
      <c r="B6" s="3">
        <f>COUNTIF(逐案审阅表!K5:K129,"APPROVE")</f>
        <v>113</v>
      </c>
    </row>
    <row r="7" ht="24" customHeight="1" spans="1:2">
      <c r="A7" s="3" t="s">
        <v>5</v>
      </c>
      <c r="B7" s="3">
        <f>COUNTIF(逐案审阅表!K5:K129,"REJECT")</f>
        <v>12</v>
      </c>
    </row>
    <row r="8" ht="24" customHeight="1" spans="1:2">
      <c r="A8" s="3" t="s">
        <v>6</v>
      </c>
      <c r="B8" s="3">
        <f>B4-B5</f>
        <v>0</v>
      </c>
    </row>
    <row r="9" ht="24" customHeight="1" spans="1:2">
      <c r="A9" s="3" t="s">
        <v>7</v>
      </c>
      <c r="B9" s="3" t="str">
        <f>IF(B8=0,"125 行均已填写，仍需提交人工声明","还有行未填写")</f>
        <v>125 行均已填写，仍需提交人工声明</v>
      </c>
    </row>
    <row r="10" ht="24" customHeight="1" spans="1:2">
      <c r="A10" s="7"/>
      <c r="B10" s="7"/>
    </row>
    <row r="11" ht="24" customHeight="1" spans="1:2">
      <c r="A11" s="7" t="s">
        <v>8</v>
      </c>
      <c r="B11" s="7"/>
    </row>
    <row r="12" ht="30" customHeight="1" spans="1:1">
      <c r="A12" s="7" t="s">
        <v>9</v>
      </c>
    </row>
    <row r="13" ht="30" customHeight="1" spans="1:1">
      <c r="A13" s="7" t="s">
        <v>10</v>
      </c>
    </row>
    <row r="14" ht="30" customHeight="1" spans="1:1">
      <c r="A14" s="7" t="s">
        <v>11</v>
      </c>
    </row>
    <row r="15" ht="30" customHeight="1" spans="1:1">
      <c r="A15" s="7" t="s">
        <v>12</v>
      </c>
    </row>
    <row r="16" ht="24" customHeight="1" spans="1:2">
      <c r="A16" s="7"/>
      <c r="B16" s="7"/>
    </row>
    <row r="17" ht="24" customHeight="1" spans="1:2">
      <c r="A17" s="9" t="s">
        <v>13</v>
      </c>
      <c r="B17" s="9" t="s">
        <v>14</v>
      </c>
    </row>
    <row r="18" ht="24" customHeight="1" spans="1:2">
      <c r="A18" s="3" t="s">
        <v>15</v>
      </c>
      <c r="B18" s="3" t="s">
        <v>16</v>
      </c>
    </row>
    <row r="19" ht="24" customHeight="1" spans="1:2">
      <c r="A19" s="3" t="s">
        <v>17</v>
      </c>
      <c r="B19" s="3" t="s">
        <v>18</v>
      </c>
    </row>
    <row r="20" ht="24" customHeight="1" spans="1:2">
      <c r="A20" s="3" t="s">
        <v>19</v>
      </c>
      <c r="B20" s="3" t="s">
        <v>20</v>
      </c>
    </row>
    <row r="21" ht="24" customHeight="1" spans="1:2">
      <c r="A21" s="7"/>
      <c r="B21" s="7"/>
    </row>
    <row r="22" ht="24" customHeight="1" spans="1:2">
      <c r="A22" s="9" t="s">
        <v>21</v>
      </c>
      <c r="B22" s="9" t="s">
        <v>22</v>
      </c>
    </row>
    <row r="23" ht="24" customHeight="1" spans="1:2">
      <c r="A23" s="3" t="s">
        <v>23</v>
      </c>
      <c r="B23" s="3">
        <v>26</v>
      </c>
    </row>
    <row r="24" ht="24" customHeight="1" spans="1:2">
      <c r="A24" s="3" t="s">
        <v>24</v>
      </c>
      <c r="B24" s="3">
        <v>4</v>
      </c>
    </row>
    <row r="25" ht="24" customHeight="1" spans="1:2">
      <c r="A25" s="3" t="s">
        <v>25</v>
      </c>
      <c r="B25" s="3">
        <v>50</v>
      </c>
    </row>
    <row r="26" ht="24" customHeight="1" spans="1:2">
      <c r="A26" s="3" t="s">
        <v>26</v>
      </c>
      <c r="B26" s="3">
        <v>20</v>
      </c>
    </row>
    <row r="27" ht="24" customHeight="1" spans="1:2">
      <c r="A27" s="3" t="s">
        <v>27</v>
      </c>
      <c r="B27" s="3">
        <v>25</v>
      </c>
    </row>
  </sheetData>
  <mergeCells count="5">
    <mergeCell ref="A2:B2"/>
    <mergeCell ref="A12:B12"/>
    <mergeCell ref="A13:B13"/>
    <mergeCell ref="A14:B14"/>
    <mergeCell ref="A15:B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showGridLines="0" tabSelected="1" workbookViewId="0">
      <pane xSplit="2" ySplit="4" topLeftCell="H5" activePane="bottomRight" state="frozen"/>
      <selection/>
      <selection pane="topRight"/>
      <selection pane="bottomLeft"/>
      <selection pane="bottomRight" activeCell="M5" sqref="M5:M129"/>
    </sheetView>
  </sheetViews>
  <sheetFormatPr defaultColWidth="9" defaultRowHeight="14.1"/>
  <cols>
    <col min="1" max="1" width="6" customWidth="1"/>
    <col min="2" max="2" width="28" customWidth="1"/>
    <col min="3" max="3" width="10" customWidth="1"/>
    <col min="4" max="4" width="16" customWidth="1"/>
    <col min="5" max="5" width="13" customWidth="1"/>
    <col min="6" max="6" width="12" customWidth="1"/>
    <col min="7" max="7" width="20" customWidth="1"/>
    <col min="8" max="8" width="34" customWidth="1"/>
    <col min="9" max="9" width="44" customWidth="1"/>
    <col min="10" max="10" width="64" customWidth="1"/>
    <col min="11" max="11" width="18" customWidth="1"/>
    <col min="12" max="12" width="34" customWidth="1"/>
    <col min="13" max="13" width="16" customWidth="1"/>
    <col min="14" max="14" width="14" customWidth="1"/>
  </cols>
  <sheetData>
    <row r="1" spans="1:1">
      <c r="A1" t="s">
        <v>28</v>
      </c>
    </row>
    <row r="2" spans="1:1">
      <c r="A2" t="s">
        <v>29</v>
      </c>
    </row>
    <row r="4" ht="32" customHeight="1" spans="1:14">
      <c r="A4" s="1" t="s">
        <v>30</v>
      </c>
      <c r="B4" s="1" t="s">
        <v>31</v>
      </c>
      <c r="C4" s="1" t="s">
        <v>32</v>
      </c>
      <c r="D4" s="1" t="s">
        <v>21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</row>
    <row r="5" ht="48" customHeight="1" spans="1:14">
      <c r="A5" s="2">
        <v>1</v>
      </c>
      <c r="B5" s="3" t="s">
        <v>43</v>
      </c>
      <c r="C5" s="3" t="s">
        <v>44</v>
      </c>
      <c r="D5" s="3" t="s">
        <v>23</v>
      </c>
      <c r="E5" s="3" t="s">
        <v>45</v>
      </c>
      <c r="F5" s="4">
        <v>44565</v>
      </c>
      <c r="G5" s="3" t="s">
        <v>46</v>
      </c>
      <c r="H5" s="3" t="s">
        <v>47</v>
      </c>
      <c r="I5" s="3" t="s">
        <v>48</v>
      </c>
      <c r="J5" s="3" t="s">
        <v>49</v>
      </c>
      <c r="K5" s="2" t="s">
        <v>4</v>
      </c>
      <c r="L5" s="3" t="s">
        <v>50</v>
      </c>
      <c r="M5" s="5" t="s">
        <v>51</v>
      </c>
      <c r="N5" s="2" t="s">
        <v>52</v>
      </c>
    </row>
    <row r="6" ht="48" customHeight="1" spans="1:14">
      <c r="A6" s="2">
        <v>2</v>
      </c>
      <c r="B6" s="3" t="s">
        <v>53</v>
      </c>
      <c r="C6" s="3" t="s">
        <v>44</v>
      </c>
      <c r="D6" s="3" t="s">
        <v>23</v>
      </c>
      <c r="E6" s="3" t="s">
        <v>45</v>
      </c>
      <c r="F6" s="4">
        <v>44713</v>
      </c>
      <c r="G6" s="3" t="s">
        <v>46</v>
      </c>
      <c r="H6" s="3" t="s">
        <v>47</v>
      </c>
      <c r="I6" s="3" t="s">
        <v>48</v>
      </c>
      <c r="J6" s="3" t="s">
        <v>54</v>
      </c>
      <c r="K6" s="2" t="s">
        <v>4</v>
      </c>
      <c r="L6" s="3" t="s">
        <v>50</v>
      </c>
      <c r="M6" s="5" t="s">
        <v>51</v>
      </c>
      <c r="N6" s="2" t="s">
        <v>52</v>
      </c>
    </row>
    <row r="7" ht="48" customHeight="1" spans="1:14">
      <c r="A7" s="2">
        <v>3</v>
      </c>
      <c r="B7" s="3" t="s">
        <v>55</v>
      </c>
      <c r="C7" s="3" t="s">
        <v>56</v>
      </c>
      <c r="D7" s="3" t="s">
        <v>23</v>
      </c>
      <c r="E7" s="3" t="s">
        <v>57</v>
      </c>
      <c r="F7" s="4">
        <v>43836</v>
      </c>
      <c r="G7" s="3" t="s">
        <v>46</v>
      </c>
      <c r="H7" s="3" t="s">
        <v>58</v>
      </c>
      <c r="I7" s="3" t="s">
        <v>59</v>
      </c>
      <c r="J7" s="3" t="s">
        <v>60</v>
      </c>
      <c r="K7" s="2" t="s">
        <v>4</v>
      </c>
      <c r="L7" s="3" t="s">
        <v>50</v>
      </c>
      <c r="M7" s="5" t="s">
        <v>51</v>
      </c>
      <c r="N7" s="2" t="s">
        <v>52</v>
      </c>
    </row>
    <row r="8" ht="48" customHeight="1" spans="1:14">
      <c r="A8" s="2">
        <v>4</v>
      </c>
      <c r="B8" s="3" t="s">
        <v>61</v>
      </c>
      <c r="C8" s="3" t="s">
        <v>56</v>
      </c>
      <c r="D8" s="3" t="s">
        <v>23</v>
      </c>
      <c r="E8" s="3" t="s">
        <v>62</v>
      </c>
      <c r="F8" s="4">
        <v>43836</v>
      </c>
      <c r="G8" s="3" t="s">
        <v>46</v>
      </c>
      <c r="H8" s="3" t="s">
        <v>58</v>
      </c>
      <c r="I8" s="3" t="s">
        <v>59</v>
      </c>
      <c r="J8" s="3" t="s">
        <v>63</v>
      </c>
      <c r="K8" s="2" t="s">
        <v>4</v>
      </c>
      <c r="L8" s="3" t="s">
        <v>50</v>
      </c>
      <c r="M8" s="5" t="s">
        <v>51</v>
      </c>
      <c r="N8" s="2" t="s">
        <v>52</v>
      </c>
    </row>
    <row r="9" ht="48" customHeight="1" spans="1:14">
      <c r="A9" s="2">
        <v>5</v>
      </c>
      <c r="B9" s="3" t="s">
        <v>64</v>
      </c>
      <c r="C9" s="3" t="s">
        <v>56</v>
      </c>
      <c r="D9" s="3" t="s">
        <v>23</v>
      </c>
      <c r="E9" s="3" t="s">
        <v>65</v>
      </c>
      <c r="F9" s="4">
        <v>43836</v>
      </c>
      <c r="G9" s="3" t="s">
        <v>46</v>
      </c>
      <c r="H9" s="3" t="s">
        <v>58</v>
      </c>
      <c r="I9" s="3" t="s">
        <v>59</v>
      </c>
      <c r="J9" s="3" t="s">
        <v>66</v>
      </c>
      <c r="K9" s="2" t="s">
        <v>4</v>
      </c>
      <c r="L9" s="3" t="s">
        <v>50</v>
      </c>
      <c r="M9" s="5" t="s">
        <v>51</v>
      </c>
      <c r="N9" s="2" t="s">
        <v>52</v>
      </c>
    </row>
    <row r="10" ht="48" customHeight="1" spans="1:14">
      <c r="A10" s="2">
        <v>6</v>
      </c>
      <c r="B10" s="3" t="s">
        <v>67</v>
      </c>
      <c r="C10" s="3" t="s">
        <v>56</v>
      </c>
      <c r="D10" s="3" t="s">
        <v>23</v>
      </c>
      <c r="E10" s="3" t="s">
        <v>68</v>
      </c>
      <c r="F10" s="4">
        <v>43836</v>
      </c>
      <c r="G10" s="3" t="s">
        <v>46</v>
      </c>
      <c r="H10" s="3" t="s">
        <v>58</v>
      </c>
      <c r="I10" s="3" t="s">
        <v>59</v>
      </c>
      <c r="J10" s="3" t="s">
        <v>69</v>
      </c>
      <c r="K10" s="2" t="s">
        <v>4</v>
      </c>
      <c r="L10" s="3" t="s">
        <v>50</v>
      </c>
      <c r="M10" s="5" t="s">
        <v>51</v>
      </c>
      <c r="N10" s="2" t="s">
        <v>52</v>
      </c>
    </row>
    <row r="11" ht="48" customHeight="1" spans="1:14">
      <c r="A11" s="2">
        <v>7</v>
      </c>
      <c r="B11" s="3" t="s">
        <v>70</v>
      </c>
      <c r="C11" s="3" t="s">
        <v>71</v>
      </c>
      <c r="D11" s="3" t="s">
        <v>23</v>
      </c>
      <c r="E11" s="3" t="s">
        <v>62</v>
      </c>
      <c r="F11" s="4">
        <v>44348</v>
      </c>
      <c r="G11" s="3" t="s">
        <v>46</v>
      </c>
      <c r="H11" s="3" t="s">
        <v>72</v>
      </c>
      <c r="I11" s="3" t="s">
        <v>73</v>
      </c>
      <c r="J11" s="3" t="s">
        <v>74</v>
      </c>
      <c r="K11" s="2" t="s">
        <v>5</v>
      </c>
      <c r="L11" s="3" t="s">
        <v>75</v>
      </c>
      <c r="M11" s="5" t="s">
        <v>51</v>
      </c>
      <c r="N11" s="2" t="s">
        <v>52</v>
      </c>
    </row>
    <row r="12" ht="48" customHeight="1" spans="1:14">
      <c r="A12" s="2">
        <v>8</v>
      </c>
      <c r="B12" s="3" t="s">
        <v>76</v>
      </c>
      <c r="C12" s="3" t="s">
        <v>71</v>
      </c>
      <c r="D12" s="3" t="s">
        <v>23</v>
      </c>
      <c r="E12" s="3" t="s">
        <v>65</v>
      </c>
      <c r="F12" s="4">
        <v>44348</v>
      </c>
      <c r="G12" s="3" t="s">
        <v>46</v>
      </c>
      <c r="H12" s="3" t="s">
        <v>72</v>
      </c>
      <c r="I12" s="3" t="s">
        <v>73</v>
      </c>
      <c r="J12" s="3" t="s">
        <v>77</v>
      </c>
      <c r="K12" s="2" t="s">
        <v>5</v>
      </c>
      <c r="L12" s="3" t="s">
        <v>75</v>
      </c>
      <c r="M12" s="5" t="s">
        <v>51</v>
      </c>
      <c r="N12" s="2" t="s">
        <v>52</v>
      </c>
    </row>
    <row r="13" ht="48" customHeight="1" spans="1:14">
      <c r="A13" s="2">
        <v>9</v>
      </c>
      <c r="B13" s="3" t="s">
        <v>78</v>
      </c>
      <c r="C13" s="3" t="s">
        <v>71</v>
      </c>
      <c r="D13" s="3" t="s">
        <v>23</v>
      </c>
      <c r="E13" s="3" t="s">
        <v>79</v>
      </c>
      <c r="F13" s="4">
        <v>44348</v>
      </c>
      <c r="G13" s="3" t="s">
        <v>46</v>
      </c>
      <c r="H13" s="3" t="s">
        <v>72</v>
      </c>
      <c r="I13" s="3" t="s">
        <v>73</v>
      </c>
      <c r="J13" s="3" t="s">
        <v>80</v>
      </c>
      <c r="K13" s="2" t="s">
        <v>5</v>
      </c>
      <c r="L13" s="3" t="s">
        <v>75</v>
      </c>
      <c r="M13" s="5" t="s">
        <v>51</v>
      </c>
      <c r="N13" s="2" t="s">
        <v>52</v>
      </c>
    </row>
    <row r="14" ht="48" customHeight="1" spans="1:14">
      <c r="A14" s="2">
        <v>10</v>
      </c>
      <c r="B14" s="3" t="s">
        <v>81</v>
      </c>
      <c r="C14" s="3" t="s">
        <v>71</v>
      </c>
      <c r="D14" s="3" t="s">
        <v>23</v>
      </c>
      <c r="E14" s="3" t="s">
        <v>82</v>
      </c>
      <c r="F14" s="4">
        <v>44348</v>
      </c>
      <c r="G14" s="3" t="s">
        <v>46</v>
      </c>
      <c r="H14" s="3" t="s">
        <v>72</v>
      </c>
      <c r="I14" s="3" t="s">
        <v>73</v>
      </c>
      <c r="J14" s="3" t="s">
        <v>83</v>
      </c>
      <c r="K14" s="2" t="s">
        <v>5</v>
      </c>
      <c r="L14" s="3" t="s">
        <v>75</v>
      </c>
      <c r="M14" s="5" t="s">
        <v>51</v>
      </c>
      <c r="N14" s="2" t="s">
        <v>52</v>
      </c>
    </row>
    <row r="15" ht="48" customHeight="1" spans="1:14">
      <c r="A15" s="2">
        <v>11</v>
      </c>
      <c r="B15" s="3" t="s">
        <v>84</v>
      </c>
      <c r="C15" s="3" t="s">
        <v>71</v>
      </c>
      <c r="D15" s="3" t="s">
        <v>23</v>
      </c>
      <c r="E15" s="3" t="s">
        <v>68</v>
      </c>
      <c r="F15" s="4">
        <v>44348</v>
      </c>
      <c r="G15" s="3" t="s">
        <v>46</v>
      </c>
      <c r="H15" s="3" t="s">
        <v>72</v>
      </c>
      <c r="I15" s="3" t="s">
        <v>73</v>
      </c>
      <c r="J15" s="3" t="s">
        <v>85</v>
      </c>
      <c r="K15" s="2" t="s">
        <v>5</v>
      </c>
      <c r="L15" s="3" t="s">
        <v>75</v>
      </c>
      <c r="M15" s="5" t="s">
        <v>51</v>
      </c>
      <c r="N15" s="2" t="s">
        <v>52</v>
      </c>
    </row>
    <row r="16" ht="48" customHeight="1" spans="1:14">
      <c r="A16" s="2">
        <v>12</v>
      </c>
      <c r="B16" s="3" t="s">
        <v>86</v>
      </c>
      <c r="C16" s="3" t="s">
        <v>87</v>
      </c>
      <c r="D16" s="3" t="s">
        <v>23</v>
      </c>
      <c r="E16" s="3" t="s">
        <v>88</v>
      </c>
      <c r="F16" s="4">
        <v>45078</v>
      </c>
      <c r="G16" s="3" t="s">
        <v>46</v>
      </c>
      <c r="H16" s="3" t="s">
        <v>89</v>
      </c>
      <c r="I16" s="3" t="s">
        <v>90</v>
      </c>
      <c r="J16" s="3" t="s">
        <v>91</v>
      </c>
      <c r="K16" s="2" t="s">
        <v>4</v>
      </c>
      <c r="L16" s="3" t="s">
        <v>50</v>
      </c>
      <c r="M16" s="5" t="s">
        <v>51</v>
      </c>
      <c r="N16" s="2" t="s">
        <v>52</v>
      </c>
    </row>
    <row r="17" ht="48" customHeight="1" spans="1:14">
      <c r="A17" s="2">
        <v>13</v>
      </c>
      <c r="B17" s="3" t="s">
        <v>92</v>
      </c>
      <c r="C17" s="3" t="s">
        <v>87</v>
      </c>
      <c r="D17" s="3" t="s">
        <v>23</v>
      </c>
      <c r="E17" s="3" t="s">
        <v>93</v>
      </c>
      <c r="F17" s="4">
        <v>45078</v>
      </c>
      <c r="G17" s="3" t="s">
        <v>46</v>
      </c>
      <c r="H17" s="3" t="s">
        <v>89</v>
      </c>
      <c r="I17" s="3" t="s">
        <v>90</v>
      </c>
      <c r="J17" s="3" t="s">
        <v>94</v>
      </c>
      <c r="K17" s="2" t="s">
        <v>4</v>
      </c>
      <c r="L17" s="3" t="s">
        <v>50</v>
      </c>
      <c r="M17" s="5" t="s">
        <v>51</v>
      </c>
      <c r="N17" s="2" t="s">
        <v>52</v>
      </c>
    </row>
    <row r="18" ht="48" customHeight="1" spans="1:14">
      <c r="A18" s="2">
        <v>14</v>
      </c>
      <c r="B18" s="3" t="s">
        <v>95</v>
      </c>
      <c r="C18" s="3" t="s">
        <v>87</v>
      </c>
      <c r="D18" s="3" t="s">
        <v>23</v>
      </c>
      <c r="E18" s="3" t="s">
        <v>96</v>
      </c>
      <c r="F18" s="4">
        <v>45078</v>
      </c>
      <c r="G18" s="3" t="s">
        <v>46</v>
      </c>
      <c r="H18" s="3" t="s">
        <v>89</v>
      </c>
      <c r="I18" s="3" t="s">
        <v>90</v>
      </c>
      <c r="J18" s="3" t="s">
        <v>97</v>
      </c>
      <c r="K18" s="2" t="s">
        <v>4</v>
      </c>
      <c r="L18" s="3" t="s">
        <v>50</v>
      </c>
      <c r="M18" s="5" t="s">
        <v>51</v>
      </c>
      <c r="N18" s="2" t="s">
        <v>52</v>
      </c>
    </row>
    <row r="19" ht="48" customHeight="1" spans="1:14">
      <c r="A19" s="2">
        <v>15</v>
      </c>
      <c r="B19" s="3" t="s">
        <v>98</v>
      </c>
      <c r="C19" s="3" t="s">
        <v>87</v>
      </c>
      <c r="D19" s="3" t="s">
        <v>23</v>
      </c>
      <c r="E19" s="3" t="s">
        <v>99</v>
      </c>
      <c r="F19" s="4">
        <v>45078</v>
      </c>
      <c r="G19" s="3" t="s">
        <v>46</v>
      </c>
      <c r="H19" s="3" t="s">
        <v>89</v>
      </c>
      <c r="I19" s="3" t="s">
        <v>90</v>
      </c>
      <c r="J19" s="3" t="s">
        <v>100</v>
      </c>
      <c r="K19" s="2" t="s">
        <v>4</v>
      </c>
      <c r="L19" s="3" t="s">
        <v>50</v>
      </c>
      <c r="M19" s="5" t="s">
        <v>51</v>
      </c>
      <c r="N19" s="2" t="s">
        <v>52</v>
      </c>
    </row>
    <row r="20" ht="48" customHeight="1" spans="1:14">
      <c r="A20" s="2">
        <v>16</v>
      </c>
      <c r="B20" s="3" t="s">
        <v>101</v>
      </c>
      <c r="C20" s="3" t="s">
        <v>87</v>
      </c>
      <c r="D20" s="3" t="s">
        <v>23</v>
      </c>
      <c r="E20" s="3" t="s">
        <v>102</v>
      </c>
      <c r="F20" s="4">
        <v>45078</v>
      </c>
      <c r="G20" s="3" t="s">
        <v>46</v>
      </c>
      <c r="H20" s="3" t="s">
        <v>89</v>
      </c>
      <c r="I20" s="3" t="s">
        <v>90</v>
      </c>
      <c r="J20" s="3" t="s">
        <v>103</v>
      </c>
      <c r="K20" s="2" t="s">
        <v>4</v>
      </c>
      <c r="L20" s="3" t="s">
        <v>50</v>
      </c>
      <c r="M20" s="5" t="s">
        <v>51</v>
      </c>
      <c r="N20" s="2" t="s">
        <v>52</v>
      </c>
    </row>
    <row r="21" ht="48" customHeight="1" spans="1:14">
      <c r="A21" s="2">
        <v>17</v>
      </c>
      <c r="B21" s="3" t="s">
        <v>104</v>
      </c>
      <c r="C21" s="3" t="s">
        <v>87</v>
      </c>
      <c r="D21" s="3" t="s">
        <v>23</v>
      </c>
      <c r="E21" s="3" t="s">
        <v>105</v>
      </c>
      <c r="F21" s="4">
        <v>45078</v>
      </c>
      <c r="G21" s="3" t="s">
        <v>46</v>
      </c>
      <c r="H21" s="3" t="s">
        <v>89</v>
      </c>
      <c r="I21" s="3" t="s">
        <v>90</v>
      </c>
      <c r="J21" s="3" t="s">
        <v>106</v>
      </c>
      <c r="K21" s="2" t="s">
        <v>4</v>
      </c>
      <c r="L21" s="3" t="s">
        <v>50</v>
      </c>
      <c r="M21" s="5" t="s">
        <v>51</v>
      </c>
      <c r="N21" s="2" t="s">
        <v>52</v>
      </c>
    </row>
    <row r="22" ht="48" customHeight="1" spans="1:14">
      <c r="A22" s="2">
        <v>18</v>
      </c>
      <c r="B22" s="3" t="s">
        <v>107</v>
      </c>
      <c r="C22" s="3" t="s">
        <v>108</v>
      </c>
      <c r="D22" s="3" t="s">
        <v>23</v>
      </c>
      <c r="E22" s="3" t="s">
        <v>109</v>
      </c>
      <c r="F22" s="4">
        <v>43577</v>
      </c>
      <c r="G22" s="3" t="s">
        <v>46</v>
      </c>
      <c r="H22" s="3" t="s">
        <v>110</v>
      </c>
      <c r="I22" s="3" t="s">
        <v>59</v>
      </c>
      <c r="J22" s="3" t="s">
        <v>111</v>
      </c>
      <c r="K22" s="2" t="s">
        <v>4</v>
      </c>
      <c r="L22" s="3" t="s">
        <v>50</v>
      </c>
      <c r="M22" s="5" t="s">
        <v>51</v>
      </c>
      <c r="N22" s="2" t="s">
        <v>52</v>
      </c>
    </row>
    <row r="23" ht="48" customHeight="1" spans="1:14">
      <c r="A23" s="2">
        <v>19</v>
      </c>
      <c r="B23" s="3" t="s">
        <v>112</v>
      </c>
      <c r="C23" s="3" t="s">
        <v>108</v>
      </c>
      <c r="D23" s="3" t="s">
        <v>23</v>
      </c>
      <c r="E23" s="3" t="s">
        <v>109</v>
      </c>
      <c r="F23" s="4">
        <v>43668</v>
      </c>
      <c r="G23" s="3" t="s">
        <v>46</v>
      </c>
      <c r="H23" s="3" t="s">
        <v>110</v>
      </c>
      <c r="I23" s="3" t="s">
        <v>59</v>
      </c>
      <c r="J23" s="3" t="s">
        <v>113</v>
      </c>
      <c r="K23" s="2" t="s">
        <v>4</v>
      </c>
      <c r="L23" s="3" t="s">
        <v>50</v>
      </c>
      <c r="M23" s="5" t="s">
        <v>51</v>
      </c>
      <c r="N23" s="2" t="s">
        <v>52</v>
      </c>
    </row>
    <row r="24" ht="48" customHeight="1" spans="1:14">
      <c r="A24" s="2">
        <v>20</v>
      </c>
      <c r="B24" s="3" t="s">
        <v>114</v>
      </c>
      <c r="C24" s="3" t="s">
        <v>115</v>
      </c>
      <c r="D24" s="3" t="s">
        <v>23</v>
      </c>
      <c r="E24" s="3" t="s">
        <v>116</v>
      </c>
      <c r="F24" s="4">
        <v>43619</v>
      </c>
      <c r="G24" s="3" t="s">
        <v>46</v>
      </c>
      <c r="H24" s="3" t="s">
        <v>117</v>
      </c>
      <c r="I24" s="3" t="s">
        <v>118</v>
      </c>
      <c r="J24" s="3" t="s">
        <v>119</v>
      </c>
      <c r="K24" s="2" t="s">
        <v>5</v>
      </c>
      <c r="L24" s="3" t="s">
        <v>120</v>
      </c>
      <c r="M24" s="5" t="s">
        <v>51</v>
      </c>
      <c r="N24" s="2" t="s">
        <v>52</v>
      </c>
    </row>
    <row r="25" ht="48" customHeight="1" spans="1:14">
      <c r="A25" s="2">
        <v>21</v>
      </c>
      <c r="B25" s="3" t="s">
        <v>121</v>
      </c>
      <c r="C25" s="3" t="s">
        <v>115</v>
      </c>
      <c r="D25" s="3" t="s">
        <v>23</v>
      </c>
      <c r="E25" s="3" t="s">
        <v>116</v>
      </c>
      <c r="F25" s="4">
        <v>43766</v>
      </c>
      <c r="G25" s="3" t="s">
        <v>46</v>
      </c>
      <c r="H25" s="3" t="s">
        <v>117</v>
      </c>
      <c r="I25" s="3" t="s">
        <v>118</v>
      </c>
      <c r="J25" s="3" t="s">
        <v>122</v>
      </c>
      <c r="K25" s="2" t="s">
        <v>5</v>
      </c>
      <c r="L25" s="3" t="s">
        <v>120</v>
      </c>
      <c r="M25" s="5" t="s">
        <v>51</v>
      </c>
      <c r="N25" s="2" t="s">
        <v>52</v>
      </c>
    </row>
    <row r="26" ht="48" customHeight="1" spans="1:14">
      <c r="A26" s="2">
        <v>22</v>
      </c>
      <c r="B26" s="3" t="s">
        <v>123</v>
      </c>
      <c r="C26" s="3" t="s">
        <v>124</v>
      </c>
      <c r="D26" s="3" t="s">
        <v>23</v>
      </c>
      <c r="E26" s="3" t="s">
        <v>125</v>
      </c>
      <c r="F26" s="4">
        <v>44348</v>
      </c>
      <c r="G26" s="3" t="s">
        <v>46</v>
      </c>
      <c r="H26" s="3" t="s">
        <v>126</v>
      </c>
      <c r="I26" s="3" t="s">
        <v>127</v>
      </c>
      <c r="J26" s="3" t="s">
        <v>128</v>
      </c>
      <c r="K26" s="2" t="s">
        <v>4</v>
      </c>
      <c r="L26" s="3" t="s">
        <v>50</v>
      </c>
      <c r="M26" s="5" t="s">
        <v>51</v>
      </c>
      <c r="N26" s="2" t="s">
        <v>52</v>
      </c>
    </row>
    <row r="27" ht="48" customHeight="1" spans="1:14">
      <c r="A27" s="2">
        <v>23</v>
      </c>
      <c r="B27" s="3" t="s">
        <v>129</v>
      </c>
      <c r="C27" s="3" t="s">
        <v>124</v>
      </c>
      <c r="D27" s="3" t="s">
        <v>23</v>
      </c>
      <c r="E27" s="3" t="s">
        <v>130</v>
      </c>
      <c r="F27" s="4">
        <v>44348</v>
      </c>
      <c r="G27" s="3" t="s">
        <v>46</v>
      </c>
      <c r="H27" s="3" t="s">
        <v>126</v>
      </c>
      <c r="I27" s="3" t="s">
        <v>127</v>
      </c>
      <c r="J27" s="3" t="s">
        <v>131</v>
      </c>
      <c r="K27" s="2" t="s">
        <v>4</v>
      </c>
      <c r="L27" s="3" t="s">
        <v>50</v>
      </c>
      <c r="M27" s="5" t="s">
        <v>51</v>
      </c>
      <c r="N27" s="2" t="s">
        <v>52</v>
      </c>
    </row>
    <row r="28" ht="48" customHeight="1" spans="1:14">
      <c r="A28" s="2">
        <v>24</v>
      </c>
      <c r="B28" s="3" t="s">
        <v>132</v>
      </c>
      <c r="C28" s="3" t="s">
        <v>124</v>
      </c>
      <c r="D28" s="3" t="s">
        <v>23</v>
      </c>
      <c r="E28" s="3" t="s">
        <v>133</v>
      </c>
      <c r="F28" s="4">
        <v>44348</v>
      </c>
      <c r="G28" s="3" t="s">
        <v>46</v>
      </c>
      <c r="H28" s="3" t="s">
        <v>126</v>
      </c>
      <c r="I28" s="3" t="s">
        <v>127</v>
      </c>
      <c r="J28" s="3" t="s">
        <v>134</v>
      </c>
      <c r="K28" s="2" t="s">
        <v>4</v>
      </c>
      <c r="L28" s="3" t="s">
        <v>50</v>
      </c>
      <c r="M28" s="5" t="s">
        <v>51</v>
      </c>
      <c r="N28" s="2" t="s">
        <v>52</v>
      </c>
    </row>
    <row r="29" ht="48" customHeight="1" spans="1:14">
      <c r="A29" s="2">
        <v>25</v>
      </c>
      <c r="B29" s="3" t="s">
        <v>135</v>
      </c>
      <c r="C29" s="3" t="s">
        <v>124</v>
      </c>
      <c r="D29" s="3" t="s">
        <v>23</v>
      </c>
      <c r="E29" s="3" t="s">
        <v>136</v>
      </c>
      <c r="F29" s="4">
        <v>44348</v>
      </c>
      <c r="G29" s="3" t="s">
        <v>46</v>
      </c>
      <c r="H29" s="3" t="s">
        <v>126</v>
      </c>
      <c r="I29" s="3" t="s">
        <v>127</v>
      </c>
      <c r="J29" s="3" t="s">
        <v>137</v>
      </c>
      <c r="K29" s="2" t="s">
        <v>4</v>
      </c>
      <c r="L29" s="3" t="s">
        <v>50</v>
      </c>
      <c r="M29" s="5" t="s">
        <v>51</v>
      </c>
      <c r="N29" s="2" t="s">
        <v>52</v>
      </c>
    </row>
    <row r="30" ht="48" customHeight="1" spans="1:14">
      <c r="A30" s="2">
        <v>26</v>
      </c>
      <c r="B30" s="3" t="s">
        <v>138</v>
      </c>
      <c r="C30" s="3" t="s">
        <v>124</v>
      </c>
      <c r="D30" s="3" t="s">
        <v>23</v>
      </c>
      <c r="E30" s="3" t="s">
        <v>139</v>
      </c>
      <c r="F30" s="4">
        <v>44348</v>
      </c>
      <c r="G30" s="3" t="s">
        <v>46</v>
      </c>
      <c r="H30" s="3" t="s">
        <v>126</v>
      </c>
      <c r="I30" s="3" t="s">
        <v>127</v>
      </c>
      <c r="J30" s="3" t="s">
        <v>140</v>
      </c>
      <c r="K30" s="2" t="s">
        <v>4</v>
      </c>
      <c r="L30" s="3" t="s">
        <v>50</v>
      </c>
      <c r="M30" s="5" t="s">
        <v>51</v>
      </c>
      <c r="N30" s="2" t="s">
        <v>52</v>
      </c>
    </row>
    <row r="31" ht="48" customHeight="1" spans="1:14">
      <c r="A31" s="2">
        <v>27</v>
      </c>
      <c r="B31" s="3" t="s">
        <v>141</v>
      </c>
      <c r="C31" s="3" t="s">
        <v>142</v>
      </c>
      <c r="D31" s="3" t="s">
        <v>24</v>
      </c>
      <c r="E31" s="3" t="s">
        <v>143</v>
      </c>
      <c r="F31" s="4">
        <v>44137</v>
      </c>
      <c r="G31" s="3" t="s">
        <v>46</v>
      </c>
      <c r="H31" s="3" t="s">
        <v>144</v>
      </c>
      <c r="I31" s="3" t="s">
        <v>90</v>
      </c>
      <c r="J31" s="3" t="s">
        <v>145</v>
      </c>
      <c r="K31" s="2" t="s">
        <v>5</v>
      </c>
      <c r="L31" s="3" t="s">
        <v>146</v>
      </c>
      <c r="M31" s="5" t="s">
        <v>51</v>
      </c>
      <c r="N31" s="2" t="s">
        <v>52</v>
      </c>
    </row>
    <row r="32" ht="48" customHeight="1" spans="1:14">
      <c r="A32" s="2">
        <v>28</v>
      </c>
      <c r="B32" s="3" t="s">
        <v>147</v>
      </c>
      <c r="C32" s="3" t="s">
        <v>142</v>
      </c>
      <c r="D32" s="3" t="s">
        <v>24</v>
      </c>
      <c r="E32" s="3" t="s">
        <v>148</v>
      </c>
      <c r="F32" s="4">
        <v>44343</v>
      </c>
      <c r="G32" s="3" t="s">
        <v>46</v>
      </c>
      <c r="H32" s="3" t="s">
        <v>144</v>
      </c>
      <c r="I32" s="3" t="s">
        <v>90</v>
      </c>
      <c r="J32" s="3" t="s">
        <v>149</v>
      </c>
      <c r="K32" s="2" t="s">
        <v>5</v>
      </c>
      <c r="L32" s="3" t="s">
        <v>146</v>
      </c>
      <c r="M32" s="5" t="s">
        <v>51</v>
      </c>
      <c r="N32" s="2" t="s">
        <v>52</v>
      </c>
    </row>
    <row r="33" ht="48" customHeight="1" spans="1:14">
      <c r="A33" s="2">
        <v>29</v>
      </c>
      <c r="B33" s="3" t="s">
        <v>150</v>
      </c>
      <c r="C33" s="3" t="s">
        <v>151</v>
      </c>
      <c r="D33" s="3" t="s">
        <v>24</v>
      </c>
      <c r="E33" s="3" t="s">
        <v>139</v>
      </c>
      <c r="F33" s="4">
        <v>44034</v>
      </c>
      <c r="G33" s="3" t="s">
        <v>46</v>
      </c>
      <c r="H33" s="3" t="s">
        <v>152</v>
      </c>
      <c r="I33" s="3" t="s">
        <v>127</v>
      </c>
      <c r="J33" s="3" t="s">
        <v>153</v>
      </c>
      <c r="K33" s="2" t="s">
        <v>4</v>
      </c>
      <c r="L33" s="3" t="s">
        <v>50</v>
      </c>
      <c r="M33" s="5" t="s">
        <v>51</v>
      </c>
      <c r="N33" s="2" t="s">
        <v>52</v>
      </c>
    </row>
    <row r="34" ht="48" customHeight="1" spans="1:14">
      <c r="A34" s="2">
        <v>30</v>
      </c>
      <c r="B34" s="3" t="s">
        <v>154</v>
      </c>
      <c r="C34" s="3" t="s">
        <v>151</v>
      </c>
      <c r="D34" s="3" t="s">
        <v>24</v>
      </c>
      <c r="E34" s="3" t="s">
        <v>139</v>
      </c>
      <c r="F34" s="4">
        <v>44035</v>
      </c>
      <c r="G34" s="3" t="s">
        <v>46</v>
      </c>
      <c r="H34" s="3" t="s">
        <v>152</v>
      </c>
      <c r="I34" s="3" t="s">
        <v>127</v>
      </c>
      <c r="J34" s="3" t="s">
        <v>155</v>
      </c>
      <c r="K34" s="2" t="s">
        <v>5</v>
      </c>
      <c r="L34" s="3" t="s">
        <v>156</v>
      </c>
      <c r="M34" s="5" t="s">
        <v>51</v>
      </c>
      <c r="N34" s="2" t="s">
        <v>52</v>
      </c>
    </row>
    <row r="35" ht="48" customHeight="1" spans="1:14">
      <c r="A35" s="2">
        <v>31</v>
      </c>
      <c r="B35" s="3" t="s">
        <v>157</v>
      </c>
      <c r="C35" s="3" t="s">
        <v>158</v>
      </c>
      <c r="D35" s="3" t="s">
        <v>25</v>
      </c>
      <c r="E35" s="3" t="s">
        <v>159</v>
      </c>
      <c r="F35" s="4">
        <v>44670</v>
      </c>
      <c r="G35" s="3" t="s">
        <v>160</v>
      </c>
      <c r="H35" s="3" t="s">
        <v>161</v>
      </c>
      <c r="I35" s="3" t="s">
        <v>162</v>
      </c>
      <c r="J35" s="3" t="s">
        <v>163</v>
      </c>
      <c r="K35" s="2" t="s">
        <v>4</v>
      </c>
      <c r="L35" s="3" t="s">
        <v>50</v>
      </c>
      <c r="M35" s="5" t="s">
        <v>51</v>
      </c>
      <c r="N35" s="2" t="s">
        <v>52</v>
      </c>
    </row>
    <row r="36" ht="48" customHeight="1" spans="1:14">
      <c r="A36" s="2">
        <v>32</v>
      </c>
      <c r="B36" s="3" t="s">
        <v>164</v>
      </c>
      <c r="C36" s="3" t="s">
        <v>165</v>
      </c>
      <c r="D36" s="3" t="s">
        <v>25</v>
      </c>
      <c r="E36" s="3" t="s">
        <v>166</v>
      </c>
      <c r="F36" s="4">
        <v>45554</v>
      </c>
      <c r="G36" s="3" t="s">
        <v>160</v>
      </c>
      <c r="H36" s="3" t="s">
        <v>167</v>
      </c>
      <c r="I36" s="3" t="s">
        <v>168</v>
      </c>
      <c r="J36" s="3" t="s">
        <v>169</v>
      </c>
      <c r="K36" s="2" t="s">
        <v>4</v>
      </c>
      <c r="L36" s="3" t="s">
        <v>50</v>
      </c>
      <c r="M36" s="5" t="s">
        <v>51</v>
      </c>
      <c r="N36" s="2" t="s">
        <v>52</v>
      </c>
    </row>
    <row r="37" ht="48" customHeight="1" spans="1:14">
      <c r="A37" s="2">
        <v>33</v>
      </c>
      <c r="B37" s="3" t="s">
        <v>170</v>
      </c>
      <c r="C37" s="3" t="s">
        <v>171</v>
      </c>
      <c r="D37" s="3" t="s">
        <v>25</v>
      </c>
      <c r="E37" s="3" t="s">
        <v>172</v>
      </c>
      <c r="F37" s="4">
        <v>45051</v>
      </c>
      <c r="G37" s="3" t="s">
        <v>160</v>
      </c>
      <c r="H37" s="3" t="s">
        <v>173</v>
      </c>
      <c r="I37" s="3" t="s">
        <v>174</v>
      </c>
      <c r="J37" s="3" t="s">
        <v>175</v>
      </c>
      <c r="K37" s="2" t="s">
        <v>4</v>
      </c>
      <c r="L37" s="3" t="s">
        <v>50</v>
      </c>
      <c r="M37" s="5" t="s">
        <v>51</v>
      </c>
      <c r="N37" s="2" t="s">
        <v>52</v>
      </c>
    </row>
    <row r="38" ht="48" customHeight="1" spans="1:14">
      <c r="A38" s="2">
        <v>34</v>
      </c>
      <c r="B38" s="3" t="s">
        <v>176</v>
      </c>
      <c r="C38" s="3" t="s">
        <v>177</v>
      </c>
      <c r="D38" s="3" t="s">
        <v>25</v>
      </c>
      <c r="E38" s="3" t="s">
        <v>178</v>
      </c>
      <c r="F38" s="4">
        <v>44687</v>
      </c>
      <c r="G38" s="3" t="s">
        <v>160</v>
      </c>
      <c r="H38" s="3" t="s">
        <v>179</v>
      </c>
      <c r="I38" s="3" t="s">
        <v>180</v>
      </c>
      <c r="J38" s="3" t="s">
        <v>181</v>
      </c>
      <c r="K38" s="2" t="s">
        <v>4</v>
      </c>
      <c r="L38" s="3" t="s">
        <v>50</v>
      </c>
      <c r="M38" s="5" t="s">
        <v>51</v>
      </c>
      <c r="N38" s="2" t="s">
        <v>52</v>
      </c>
    </row>
    <row r="39" ht="48" customHeight="1" spans="1:14">
      <c r="A39" s="2">
        <v>35</v>
      </c>
      <c r="B39" s="3" t="s">
        <v>182</v>
      </c>
      <c r="C39" s="3" t="s">
        <v>183</v>
      </c>
      <c r="D39" s="3" t="s">
        <v>25</v>
      </c>
      <c r="E39" s="3" t="s">
        <v>184</v>
      </c>
      <c r="F39" s="4">
        <v>45050</v>
      </c>
      <c r="G39" s="3" t="s">
        <v>160</v>
      </c>
      <c r="H39" s="3" t="s">
        <v>185</v>
      </c>
      <c r="I39" s="3" t="s">
        <v>186</v>
      </c>
      <c r="J39" s="3" t="s">
        <v>187</v>
      </c>
      <c r="K39" s="2" t="s">
        <v>4</v>
      </c>
      <c r="L39" s="3" t="s">
        <v>50</v>
      </c>
      <c r="M39" s="5" t="s">
        <v>51</v>
      </c>
      <c r="N39" s="2" t="s">
        <v>52</v>
      </c>
    </row>
    <row r="40" ht="48" customHeight="1" spans="1:14">
      <c r="A40" s="2">
        <v>36</v>
      </c>
      <c r="B40" s="3" t="s">
        <v>188</v>
      </c>
      <c r="C40" s="3" t="s">
        <v>189</v>
      </c>
      <c r="D40" s="3" t="s">
        <v>25</v>
      </c>
      <c r="E40" s="3" t="s">
        <v>190</v>
      </c>
      <c r="F40" s="4">
        <v>44687</v>
      </c>
      <c r="G40" s="3" t="s">
        <v>160</v>
      </c>
      <c r="H40" s="3" t="s">
        <v>191</v>
      </c>
      <c r="I40" s="3" t="s">
        <v>192</v>
      </c>
      <c r="J40" s="3" t="s">
        <v>193</v>
      </c>
      <c r="K40" s="2" t="s">
        <v>4</v>
      </c>
      <c r="L40" s="3" t="s">
        <v>50</v>
      </c>
      <c r="M40" s="5" t="s">
        <v>51</v>
      </c>
      <c r="N40" s="2" t="s">
        <v>52</v>
      </c>
    </row>
    <row r="41" ht="48" customHeight="1" spans="1:14">
      <c r="A41" s="2">
        <v>37</v>
      </c>
      <c r="B41" s="3" t="s">
        <v>194</v>
      </c>
      <c r="C41" s="3" t="s">
        <v>195</v>
      </c>
      <c r="D41" s="3" t="s">
        <v>25</v>
      </c>
      <c r="E41" s="3" t="s">
        <v>196</v>
      </c>
      <c r="F41" s="4">
        <v>44680</v>
      </c>
      <c r="G41" s="3" t="s">
        <v>160</v>
      </c>
      <c r="H41" s="3" t="s">
        <v>197</v>
      </c>
      <c r="I41" s="3" t="s">
        <v>198</v>
      </c>
      <c r="J41" s="3" t="s">
        <v>199</v>
      </c>
      <c r="K41" s="2" t="s">
        <v>4</v>
      </c>
      <c r="L41" s="3" t="s">
        <v>50</v>
      </c>
      <c r="M41" s="5" t="s">
        <v>51</v>
      </c>
      <c r="N41" s="2" t="s">
        <v>52</v>
      </c>
    </row>
    <row r="42" ht="48" customHeight="1" spans="1:14">
      <c r="A42" s="2">
        <v>38</v>
      </c>
      <c r="B42" s="3" t="s">
        <v>200</v>
      </c>
      <c r="C42" s="3" t="s">
        <v>201</v>
      </c>
      <c r="D42" s="3" t="s">
        <v>25</v>
      </c>
      <c r="E42" s="3" t="s">
        <v>202</v>
      </c>
      <c r="F42" s="4">
        <v>44687</v>
      </c>
      <c r="G42" s="3" t="s">
        <v>160</v>
      </c>
      <c r="H42" s="3" t="s">
        <v>203</v>
      </c>
      <c r="I42" s="3" t="s">
        <v>204</v>
      </c>
      <c r="J42" s="3" t="s">
        <v>205</v>
      </c>
      <c r="K42" s="2" t="s">
        <v>5</v>
      </c>
      <c r="L42" s="3" t="s">
        <v>206</v>
      </c>
      <c r="M42" s="5" t="s">
        <v>51</v>
      </c>
      <c r="N42" s="2" t="s">
        <v>52</v>
      </c>
    </row>
    <row r="43" ht="48" customHeight="1" spans="1:14">
      <c r="A43" s="2">
        <v>39</v>
      </c>
      <c r="B43" s="3" t="s">
        <v>207</v>
      </c>
      <c r="C43" s="3" t="s">
        <v>208</v>
      </c>
      <c r="D43" s="3" t="s">
        <v>25</v>
      </c>
      <c r="E43" s="3" t="s">
        <v>209</v>
      </c>
      <c r="F43" s="4">
        <v>45051</v>
      </c>
      <c r="G43" s="3" t="s">
        <v>160</v>
      </c>
      <c r="H43" s="3" t="s">
        <v>210</v>
      </c>
      <c r="I43" s="3" t="s">
        <v>211</v>
      </c>
      <c r="J43" s="3" t="s">
        <v>212</v>
      </c>
      <c r="K43" s="2" t="s">
        <v>4</v>
      </c>
      <c r="L43" s="3" t="s">
        <v>50</v>
      </c>
      <c r="M43" s="5" t="s">
        <v>51</v>
      </c>
      <c r="N43" s="2" t="s">
        <v>52</v>
      </c>
    </row>
    <row r="44" ht="48" customHeight="1" spans="1:14">
      <c r="A44" s="2">
        <v>40</v>
      </c>
      <c r="B44" s="3" t="s">
        <v>213</v>
      </c>
      <c r="C44" s="3" t="s">
        <v>214</v>
      </c>
      <c r="D44" s="3" t="s">
        <v>25</v>
      </c>
      <c r="E44" s="3" t="s">
        <v>215</v>
      </c>
      <c r="F44" s="4">
        <v>43950</v>
      </c>
      <c r="G44" s="3" t="s">
        <v>160</v>
      </c>
      <c r="H44" s="3" t="s">
        <v>216</v>
      </c>
      <c r="I44" s="3" t="s">
        <v>217</v>
      </c>
      <c r="J44" s="3" t="s">
        <v>218</v>
      </c>
      <c r="K44" s="2" t="s">
        <v>4</v>
      </c>
      <c r="L44" s="3" t="s">
        <v>50</v>
      </c>
      <c r="M44" s="5" t="s">
        <v>51</v>
      </c>
      <c r="N44" s="2" t="s">
        <v>52</v>
      </c>
    </row>
    <row r="45" ht="48" customHeight="1" spans="1:14">
      <c r="A45" s="2">
        <v>41</v>
      </c>
      <c r="B45" s="3" t="s">
        <v>219</v>
      </c>
      <c r="C45" s="3" t="s">
        <v>220</v>
      </c>
      <c r="D45" s="3" t="s">
        <v>25</v>
      </c>
      <c r="E45" s="3" t="s">
        <v>221</v>
      </c>
      <c r="F45" s="4">
        <v>45418</v>
      </c>
      <c r="G45" s="3" t="s">
        <v>160</v>
      </c>
      <c r="H45" s="3" t="s">
        <v>222</v>
      </c>
      <c r="I45" s="3" t="s">
        <v>223</v>
      </c>
      <c r="J45" s="3" t="s">
        <v>224</v>
      </c>
      <c r="K45" s="2" t="s">
        <v>4</v>
      </c>
      <c r="L45" s="3" t="s">
        <v>50</v>
      </c>
      <c r="M45" s="5" t="s">
        <v>51</v>
      </c>
      <c r="N45" s="2" t="s">
        <v>52</v>
      </c>
    </row>
    <row r="46" ht="48" customHeight="1" spans="1:14">
      <c r="A46" s="2">
        <v>42</v>
      </c>
      <c r="B46" s="3" t="s">
        <v>225</v>
      </c>
      <c r="C46" s="3" t="s">
        <v>226</v>
      </c>
      <c r="D46" s="3" t="s">
        <v>25</v>
      </c>
      <c r="E46" s="3" t="s">
        <v>227</v>
      </c>
      <c r="F46" s="4">
        <v>44672</v>
      </c>
      <c r="G46" s="3" t="s">
        <v>160</v>
      </c>
      <c r="H46" s="3" t="s">
        <v>228</v>
      </c>
      <c r="I46" s="3" t="s">
        <v>229</v>
      </c>
      <c r="J46" s="3" t="s">
        <v>230</v>
      </c>
      <c r="K46" s="2" t="s">
        <v>4</v>
      </c>
      <c r="L46" s="3" t="s">
        <v>50</v>
      </c>
      <c r="M46" s="5" t="s">
        <v>51</v>
      </c>
      <c r="N46" s="2" t="s">
        <v>52</v>
      </c>
    </row>
    <row r="47" ht="48" customHeight="1" spans="1:14">
      <c r="A47" s="2">
        <v>43</v>
      </c>
      <c r="B47" s="3" t="s">
        <v>231</v>
      </c>
      <c r="C47" s="3" t="s">
        <v>232</v>
      </c>
      <c r="D47" s="3" t="s">
        <v>25</v>
      </c>
      <c r="E47" s="3" t="s">
        <v>233</v>
      </c>
      <c r="F47" s="4">
        <v>45051</v>
      </c>
      <c r="G47" s="3" t="s">
        <v>160</v>
      </c>
      <c r="H47" s="3" t="s">
        <v>234</v>
      </c>
      <c r="I47" s="3" t="s">
        <v>235</v>
      </c>
      <c r="J47" s="3" t="s">
        <v>236</v>
      </c>
      <c r="K47" s="2" t="s">
        <v>4</v>
      </c>
      <c r="L47" s="3" t="s">
        <v>50</v>
      </c>
      <c r="M47" s="5" t="s">
        <v>51</v>
      </c>
      <c r="N47" s="2" t="s">
        <v>52</v>
      </c>
    </row>
    <row r="48" ht="48" customHeight="1" spans="1:14">
      <c r="A48" s="2">
        <v>44</v>
      </c>
      <c r="B48" s="3" t="s">
        <v>237</v>
      </c>
      <c r="C48" s="3" t="s">
        <v>238</v>
      </c>
      <c r="D48" s="3" t="s">
        <v>25</v>
      </c>
      <c r="E48" s="3" t="s">
        <v>239</v>
      </c>
      <c r="F48" s="4">
        <v>44687</v>
      </c>
      <c r="G48" s="3" t="s">
        <v>160</v>
      </c>
      <c r="H48" s="3" t="s">
        <v>240</v>
      </c>
      <c r="I48" s="3" t="s">
        <v>241</v>
      </c>
      <c r="J48" s="3" t="s">
        <v>242</v>
      </c>
      <c r="K48" s="2" t="s">
        <v>4</v>
      </c>
      <c r="L48" s="3" t="s">
        <v>50</v>
      </c>
      <c r="M48" s="5" t="s">
        <v>51</v>
      </c>
      <c r="N48" s="2" t="s">
        <v>52</v>
      </c>
    </row>
    <row r="49" ht="48" customHeight="1" spans="1:14">
      <c r="A49" s="2">
        <v>45</v>
      </c>
      <c r="B49" s="3" t="s">
        <v>243</v>
      </c>
      <c r="C49" s="3" t="s">
        <v>244</v>
      </c>
      <c r="D49" s="3" t="s">
        <v>25</v>
      </c>
      <c r="E49" s="3" t="s">
        <v>245</v>
      </c>
      <c r="F49" s="4">
        <v>44687</v>
      </c>
      <c r="G49" s="3" t="s">
        <v>160</v>
      </c>
      <c r="H49" s="3" t="s">
        <v>246</v>
      </c>
      <c r="I49" s="3" t="s">
        <v>247</v>
      </c>
      <c r="J49" s="3" t="s">
        <v>248</v>
      </c>
      <c r="K49" s="2" t="s">
        <v>4</v>
      </c>
      <c r="L49" s="3" t="s">
        <v>50</v>
      </c>
      <c r="M49" s="5" t="s">
        <v>51</v>
      </c>
      <c r="N49" s="2" t="s">
        <v>52</v>
      </c>
    </row>
    <row r="50" ht="48" customHeight="1" spans="1:14">
      <c r="A50" s="2">
        <v>46</v>
      </c>
      <c r="B50" s="3" t="s">
        <v>249</v>
      </c>
      <c r="C50" s="3" t="s">
        <v>250</v>
      </c>
      <c r="D50" s="3" t="s">
        <v>25</v>
      </c>
      <c r="E50" s="3" t="s">
        <v>251</v>
      </c>
      <c r="F50" s="4">
        <v>44314</v>
      </c>
      <c r="G50" s="3" t="s">
        <v>160</v>
      </c>
      <c r="H50" s="3" t="s">
        <v>252</v>
      </c>
      <c r="I50" s="3" t="s">
        <v>253</v>
      </c>
      <c r="J50" s="3" t="s">
        <v>254</v>
      </c>
      <c r="K50" s="2" t="s">
        <v>4</v>
      </c>
      <c r="L50" s="3" t="s">
        <v>50</v>
      </c>
      <c r="M50" s="5" t="s">
        <v>51</v>
      </c>
      <c r="N50" s="2" t="s">
        <v>52</v>
      </c>
    </row>
    <row r="51" ht="48" customHeight="1" spans="1:14">
      <c r="A51" s="2">
        <v>47</v>
      </c>
      <c r="B51" s="3" t="s">
        <v>255</v>
      </c>
      <c r="C51" s="3" t="s">
        <v>256</v>
      </c>
      <c r="D51" s="3" t="s">
        <v>25</v>
      </c>
      <c r="E51" s="3" t="s">
        <v>257</v>
      </c>
      <c r="F51" s="4">
        <v>45412</v>
      </c>
      <c r="G51" s="3" t="s">
        <v>160</v>
      </c>
      <c r="H51" s="3" t="s">
        <v>258</v>
      </c>
      <c r="I51" s="3" t="s">
        <v>259</v>
      </c>
      <c r="J51" s="3" t="s">
        <v>260</v>
      </c>
      <c r="K51" s="2" t="s">
        <v>4</v>
      </c>
      <c r="L51" s="3" t="s">
        <v>50</v>
      </c>
      <c r="M51" s="5" t="s">
        <v>51</v>
      </c>
      <c r="N51" s="2" t="s">
        <v>52</v>
      </c>
    </row>
    <row r="52" ht="48" customHeight="1" spans="1:14">
      <c r="A52" s="2">
        <v>48</v>
      </c>
      <c r="B52" s="3" t="s">
        <v>261</v>
      </c>
      <c r="C52" s="3" t="s">
        <v>262</v>
      </c>
      <c r="D52" s="3" t="s">
        <v>25</v>
      </c>
      <c r="E52" s="3" t="s">
        <v>263</v>
      </c>
      <c r="F52" s="4">
        <v>45412</v>
      </c>
      <c r="G52" s="3" t="s">
        <v>160</v>
      </c>
      <c r="H52" s="3" t="s">
        <v>264</v>
      </c>
      <c r="I52" s="3" t="s">
        <v>265</v>
      </c>
      <c r="J52" s="3" t="s">
        <v>266</v>
      </c>
      <c r="K52" s="2" t="s">
        <v>4</v>
      </c>
      <c r="L52" s="3" t="s">
        <v>50</v>
      </c>
      <c r="M52" s="5" t="s">
        <v>51</v>
      </c>
      <c r="N52" s="2" t="s">
        <v>52</v>
      </c>
    </row>
    <row r="53" ht="48" customHeight="1" spans="1:14">
      <c r="A53" s="2">
        <v>49</v>
      </c>
      <c r="B53" s="3" t="s">
        <v>267</v>
      </c>
      <c r="C53" s="3" t="s">
        <v>268</v>
      </c>
      <c r="D53" s="3" t="s">
        <v>25</v>
      </c>
      <c r="E53" s="3" t="s">
        <v>269</v>
      </c>
      <c r="F53" s="4">
        <v>45412</v>
      </c>
      <c r="G53" s="3" t="s">
        <v>160</v>
      </c>
      <c r="H53" s="3" t="s">
        <v>270</v>
      </c>
      <c r="I53" s="3" t="s">
        <v>271</v>
      </c>
      <c r="J53" s="3" t="s">
        <v>272</v>
      </c>
      <c r="K53" s="2" t="s">
        <v>4</v>
      </c>
      <c r="L53" s="3" t="s">
        <v>50</v>
      </c>
      <c r="M53" s="5" t="s">
        <v>51</v>
      </c>
      <c r="N53" s="2" t="s">
        <v>52</v>
      </c>
    </row>
    <row r="54" ht="48" customHeight="1" spans="1:14">
      <c r="A54" s="2">
        <v>50</v>
      </c>
      <c r="B54" s="3" t="s">
        <v>273</v>
      </c>
      <c r="C54" s="3" t="s">
        <v>274</v>
      </c>
      <c r="D54" s="3" t="s">
        <v>25</v>
      </c>
      <c r="E54" s="3" t="s">
        <v>275</v>
      </c>
      <c r="F54" s="4">
        <v>45411</v>
      </c>
      <c r="G54" s="3" t="s">
        <v>160</v>
      </c>
      <c r="H54" s="3" t="s">
        <v>276</v>
      </c>
      <c r="I54" s="3" t="s">
        <v>277</v>
      </c>
      <c r="J54" s="3" t="s">
        <v>278</v>
      </c>
      <c r="K54" s="2" t="s">
        <v>4</v>
      </c>
      <c r="L54" s="3" t="s">
        <v>50</v>
      </c>
      <c r="M54" s="5" t="s">
        <v>51</v>
      </c>
      <c r="N54" s="2" t="s">
        <v>52</v>
      </c>
    </row>
    <row r="55" ht="48" customHeight="1" spans="1:14">
      <c r="A55" s="2">
        <v>51</v>
      </c>
      <c r="B55" s="3" t="s">
        <v>279</v>
      </c>
      <c r="C55" s="3" t="s">
        <v>280</v>
      </c>
      <c r="D55" s="3" t="s">
        <v>25</v>
      </c>
      <c r="E55" s="3" t="s">
        <v>281</v>
      </c>
      <c r="F55" s="4">
        <v>44680</v>
      </c>
      <c r="G55" s="3" t="s">
        <v>160</v>
      </c>
      <c r="H55" s="3" t="s">
        <v>282</v>
      </c>
      <c r="I55" s="3" t="s">
        <v>283</v>
      </c>
      <c r="J55" s="3" t="s">
        <v>284</v>
      </c>
      <c r="K55" s="2" t="s">
        <v>4</v>
      </c>
      <c r="L55" s="3" t="s">
        <v>50</v>
      </c>
      <c r="M55" s="5" t="s">
        <v>51</v>
      </c>
      <c r="N55" s="2" t="s">
        <v>52</v>
      </c>
    </row>
    <row r="56" ht="48" customHeight="1" spans="1:14">
      <c r="A56" s="2">
        <v>52</v>
      </c>
      <c r="B56" s="3" t="s">
        <v>285</v>
      </c>
      <c r="C56" s="3" t="s">
        <v>286</v>
      </c>
      <c r="D56" s="3" t="s">
        <v>25</v>
      </c>
      <c r="E56" s="3" t="s">
        <v>287</v>
      </c>
      <c r="F56" s="4">
        <v>44315</v>
      </c>
      <c r="G56" s="3" t="s">
        <v>160</v>
      </c>
      <c r="H56" s="3" t="s">
        <v>288</v>
      </c>
      <c r="I56" s="3" t="s">
        <v>289</v>
      </c>
      <c r="J56" s="3" t="s">
        <v>290</v>
      </c>
      <c r="K56" s="2" t="s">
        <v>4</v>
      </c>
      <c r="L56" s="3" t="s">
        <v>50</v>
      </c>
      <c r="M56" s="5" t="s">
        <v>51</v>
      </c>
      <c r="N56" s="2" t="s">
        <v>52</v>
      </c>
    </row>
    <row r="57" ht="48" customHeight="1" spans="1:14">
      <c r="A57" s="2">
        <v>53</v>
      </c>
      <c r="B57" s="3" t="s">
        <v>291</v>
      </c>
      <c r="C57" s="3" t="s">
        <v>292</v>
      </c>
      <c r="D57" s="3" t="s">
        <v>25</v>
      </c>
      <c r="E57" s="3" t="s">
        <v>293</v>
      </c>
      <c r="F57" s="4">
        <v>44781</v>
      </c>
      <c r="G57" s="3" t="s">
        <v>160</v>
      </c>
      <c r="H57" s="3" t="s">
        <v>294</v>
      </c>
      <c r="I57" s="3" t="s">
        <v>295</v>
      </c>
      <c r="J57" s="3" t="s">
        <v>296</v>
      </c>
      <c r="K57" s="2" t="s">
        <v>4</v>
      </c>
      <c r="L57" s="3" t="s">
        <v>50</v>
      </c>
      <c r="M57" s="5" t="s">
        <v>51</v>
      </c>
      <c r="N57" s="2" t="s">
        <v>52</v>
      </c>
    </row>
    <row r="58" ht="48" customHeight="1" spans="1:14">
      <c r="A58" s="2">
        <v>54</v>
      </c>
      <c r="B58" s="3" t="s">
        <v>297</v>
      </c>
      <c r="C58" s="3" t="s">
        <v>298</v>
      </c>
      <c r="D58" s="3" t="s">
        <v>25</v>
      </c>
      <c r="E58" s="3" t="s">
        <v>299</v>
      </c>
      <c r="F58" s="4">
        <v>44680</v>
      </c>
      <c r="G58" s="3" t="s">
        <v>160</v>
      </c>
      <c r="H58" s="3" t="s">
        <v>300</v>
      </c>
      <c r="I58" s="3" t="s">
        <v>301</v>
      </c>
      <c r="J58" s="3" t="s">
        <v>302</v>
      </c>
      <c r="K58" s="2" t="s">
        <v>4</v>
      </c>
      <c r="L58" s="3" t="s">
        <v>50</v>
      </c>
      <c r="M58" s="5" t="s">
        <v>51</v>
      </c>
      <c r="N58" s="2" t="s">
        <v>52</v>
      </c>
    </row>
    <row r="59" ht="48" customHeight="1" spans="1:14">
      <c r="A59" s="2">
        <v>55</v>
      </c>
      <c r="B59" s="3" t="s">
        <v>303</v>
      </c>
      <c r="C59" s="3" t="s">
        <v>304</v>
      </c>
      <c r="D59" s="3" t="s">
        <v>25</v>
      </c>
      <c r="E59" s="3" t="s">
        <v>305</v>
      </c>
      <c r="F59" s="4">
        <v>45411</v>
      </c>
      <c r="G59" s="3" t="s">
        <v>160</v>
      </c>
      <c r="H59" s="3" t="s">
        <v>306</v>
      </c>
      <c r="I59" s="3" t="s">
        <v>307</v>
      </c>
      <c r="J59" s="3" t="s">
        <v>308</v>
      </c>
      <c r="K59" s="2" t="s">
        <v>4</v>
      </c>
      <c r="L59" s="3" t="s">
        <v>50</v>
      </c>
      <c r="M59" s="5" t="s">
        <v>51</v>
      </c>
      <c r="N59" s="2" t="s">
        <v>52</v>
      </c>
    </row>
    <row r="60" ht="48" customHeight="1" spans="1:14">
      <c r="A60" s="2">
        <v>56</v>
      </c>
      <c r="B60" s="3" t="s">
        <v>309</v>
      </c>
      <c r="C60" s="3" t="s">
        <v>310</v>
      </c>
      <c r="D60" s="3" t="s">
        <v>25</v>
      </c>
      <c r="E60" s="3" t="s">
        <v>311</v>
      </c>
      <c r="F60" s="4">
        <v>45050</v>
      </c>
      <c r="G60" s="3" t="s">
        <v>160</v>
      </c>
      <c r="H60" s="3" t="s">
        <v>312</v>
      </c>
      <c r="I60" s="3" t="s">
        <v>313</v>
      </c>
      <c r="J60" s="3" t="s">
        <v>314</v>
      </c>
      <c r="K60" s="2" t="s">
        <v>4</v>
      </c>
      <c r="L60" s="3" t="s">
        <v>50</v>
      </c>
      <c r="M60" s="5" t="s">
        <v>51</v>
      </c>
      <c r="N60" s="2" t="s">
        <v>52</v>
      </c>
    </row>
    <row r="61" ht="48" customHeight="1" spans="1:14">
      <c r="A61" s="2">
        <v>57</v>
      </c>
      <c r="B61" s="3" t="s">
        <v>315</v>
      </c>
      <c r="C61" s="3" t="s">
        <v>316</v>
      </c>
      <c r="D61" s="3" t="s">
        <v>25</v>
      </c>
      <c r="E61" s="3" t="s">
        <v>317</v>
      </c>
      <c r="F61" s="4">
        <v>45411</v>
      </c>
      <c r="G61" s="3" t="s">
        <v>160</v>
      </c>
      <c r="H61" s="3" t="s">
        <v>318</v>
      </c>
      <c r="I61" s="3" t="s">
        <v>319</v>
      </c>
      <c r="J61" s="3" t="s">
        <v>320</v>
      </c>
      <c r="K61" s="2" t="s">
        <v>5</v>
      </c>
      <c r="L61" s="3" t="s">
        <v>321</v>
      </c>
      <c r="M61" s="5" t="s">
        <v>51</v>
      </c>
      <c r="N61" s="2" t="s">
        <v>52</v>
      </c>
    </row>
    <row r="62" ht="48" customHeight="1" spans="1:14">
      <c r="A62" s="2">
        <v>58</v>
      </c>
      <c r="B62" s="3" t="s">
        <v>322</v>
      </c>
      <c r="C62" s="3" t="s">
        <v>323</v>
      </c>
      <c r="D62" s="3" t="s">
        <v>25</v>
      </c>
      <c r="E62" s="3" t="s">
        <v>324</v>
      </c>
      <c r="F62" s="4">
        <v>45051</v>
      </c>
      <c r="G62" s="3" t="s">
        <v>325</v>
      </c>
      <c r="H62" s="3" t="s">
        <v>326</v>
      </c>
      <c r="I62" s="3" t="s">
        <v>327</v>
      </c>
      <c r="J62" s="3" t="s">
        <v>328</v>
      </c>
      <c r="K62" s="2" t="s">
        <v>4</v>
      </c>
      <c r="L62" s="3" t="s">
        <v>50</v>
      </c>
      <c r="M62" s="5" t="s">
        <v>51</v>
      </c>
      <c r="N62" s="2" t="s">
        <v>52</v>
      </c>
    </row>
    <row r="63" ht="48" customHeight="1" spans="1:14">
      <c r="A63" s="2">
        <v>59</v>
      </c>
      <c r="B63" s="3" t="s">
        <v>329</v>
      </c>
      <c r="C63" s="3" t="s">
        <v>330</v>
      </c>
      <c r="D63" s="3" t="s">
        <v>25</v>
      </c>
      <c r="E63" s="3" t="s">
        <v>331</v>
      </c>
      <c r="F63" s="4">
        <v>45418</v>
      </c>
      <c r="G63" s="3" t="s">
        <v>325</v>
      </c>
      <c r="H63" s="3" t="s">
        <v>332</v>
      </c>
      <c r="I63" s="3" t="s">
        <v>333</v>
      </c>
      <c r="J63" s="3" t="s">
        <v>334</v>
      </c>
      <c r="K63" s="2" t="s">
        <v>4</v>
      </c>
      <c r="L63" s="3" t="s">
        <v>50</v>
      </c>
      <c r="M63" s="5" t="s">
        <v>51</v>
      </c>
      <c r="N63" s="2" t="s">
        <v>52</v>
      </c>
    </row>
    <row r="64" ht="48" customHeight="1" spans="1:14">
      <c r="A64" s="2">
        <v>60</v>
      </c>
      <c r="B64" s="3" t="s">
        <v>335</v>
      </c>
      <c r="C64" s="3" t="s">
        <v>336</v>
      </c>
      <c r="D64" s="3" t="s">
        <v>25</v>
      </c>
      <c r="E64" s="3" t="s">
        <v>337</v>
      </c>
      <c r="F64" s="4">
        <v>45050</v>
      </c>
      <c r="G64" s="3" t="s">
        <v>325</v>
      </c>
      <c r="H64" s="3" t="s">
        <v>338</v>
      </c>
      <c r="I64" s="3" t="s">
        <v>339</v>
      </c>
      <c r="J64" s="3" t="s">
        <v>340</v>
      </c>
      <c r="K64" s="2" t="s">
        <v>4</v>
      </c>
      <c r="L64" s="3" t="s">
        <v>50</v>
      </c>
      <c r="M64" s="5" t="s">
        <v>51</v>
      </c>
      <c r="N64" s="2" t="s">
        <v>52</v>
      </c>
    </row>
    <row r="65" ht="48" customHeight="1" spans="1:14">
      <c r="A65" s="2">
        <v>61</v>
      </c>
      <c r="B65" s="3" t="s">
        <v>341</v>
      </c>
      <c r="C65" s="3" t="s">
        <v>342</v>
      </c>
      <c r="D65" s="3" t="s">
        <v>25</v>
      </c>
      <c r="E65" s="3" t="s">
        <v>343</v>
      </c>
      <c r="F65" s="4">
        <v>45050</v>
      </c>
      <c r="G65" s="3" t="s">
        <v>325</v>
      </c>
      <c r="H65" s="3" t="s">
        <v>344</v>
      </c>
      <c r="I65" s="3" t="s">
        <v>345</v>
      </c>
      <c r="J65" s="3" t="s">
        <v>346</v>
      </c>
      <c r="K65" s="2" t="s">
        <v>4</v>
      </c>
      <c r="L65" s="3" t="s">
        <v>50</v>
      </c>
      <c r="M65" s="5" t="s">
        <v>51</v>
      </c>
      <c r="N65" s="2" t="s">
        <v>52</v>
      </c>
    </row>
    <row r="66" ht="48" customHeight="1" spans="1:14">
      <c r="A66" s="2">
        <v>62</v>
      </c>
      <c r="B66" s="3" t="s">
        <v>347</v>
      </c>
      <c r="C66" s="3" t="s">
        <v>348</v>
      </c>
      <c r="D66" s="3" t="s">
        <v>25</v>
      </c>
      <c r="E66" s="3" t="s">
        <v>349</v>
      </c>
      <c r="F66" s="4">
        <v>44399</v>
      </c>
      <c r="G66" s="3" t="s">
        <v>325</v>
      </c>
      <c r="H66" s="3" t="s">
        <v>350</v>
      </c>
      <c r="I66" s="3" t="s">
        <v>351</v>
      </c>
      <c r="J66" s="3" t="s">
        <v>352</v>
      </c>
      <c r="K66" s="2" t="s">
        <v>4</v>
      </c>
      <c r="L66" s="3" t="s">
        <v>50</v>
      </c>
      <c r="M66" s="5" t="s">
        <v>51</v>
      </c>
      <c r="N66" s="2" t="s">
        <v>52</v>
      </c>
    </row>
    <row r="67" ht="48" customHeight="1" spans="1:14">
      <c r="A67" s="2">
        <v>63</v>
      </c>
      <c r="B67" s="3" t="s">
        <v>353</v>
      </c>
      <c r="C67" s="3" t="s">
        <v>354</v>
      </c>
      <c r="D67" s="3" t="s">
        <v>25</v>
      </c>
      <c r="E67" s="3" t="s">
        <v>355</v>
      </c>
      <c r="F67" s="4">
        <v>44687</v>
      </c>
      <c r="G67" s="3" t="s">
        <v>325</v>
      </c>
      <c r="H67" s="3" t="s">
        <v>356</v>
      </c>
      <c r="I67" s="3" t="s">
        <v>357</v>
      </c>
      <c r="J67" s="3" t="s">
        <v>358</v>
      </c>
      <c r="K67" s="2" t="s">
        <v>4</v>
      </c>
      <c r="L67" s="3" t="s">
        <v>50</v>
      </c>
      <c r="M67" s="5" t="s">
        <v>51</v>
      </c>
      <c r="N67" s="2" t="s">
        <v>52</v>
      </c>
    </row>
    <row r="68" ht="48" customHeight="1" spans="1:14">
      <c r="A68" s="2">
        <v>64</v>
      </c>
      <c r="B68" s="3" t="s">
        <v>359</v>
      </c>
      <c r="C68" s="3" t="s">
        <v>360</v>
      </c>
      <c r="D68" s="3" t="s">
        <v>25</v>
      </c>
      <c r="E68" s="3" t="s">
        <v>361</v>
      </c>
      <c r="F68" s="4">
        <v>45051</v>
      </c>
      <c r="G68" s="3" t="s">
        <v>325</v>
      </c>
      <c r="H68" s="3" t="s">
        <v>362</v>
      </c>
      <c r="I68" s="3" t="s">
        <v>363</v>
      </c>
      <c r="J68" s="3" t="s">
        <v>364</v>
      </c>
      <c r="K68" s="2" t="s">
        <v>4</v>
      </c>
      <c r="L68" s="3" t="s">
        <v>50</v>
      </c>
      <c r="M68" s="5" t="s">
        <v>51</v>
      </c>
      <c r="N68" s="2" t="s">
        <v>52</v>
      </c>
    </row>
    <row r="69" ht="48" customHeight="1" spans="1:14">
      <c r="A69" s="2">
        <v>65</v>
      </c>
      <c r="B69" s="3" t="s">
        <v>365</v>
      </c>
      <c r="C69" s="3" t="s">
        <v>366</v>
      </c>
      <c r="D69" s="3" t="s">
        <v>25</v>
      </c>
      <c r="E69" s="3" t="s">
        <v>367</v>
      </c>
      <c r="F69" s="4">
        <v>45418</v>
      </c>
      <c r="G69" s="3" t="s">
        <v>325</v>
      </c>
      <c r="H69" s="3" t="s">
        <v>368</v>
      </c>
      <c r="I69" s="3" t="s">
        <v>333</v>
      </c>
      <c r="J69" s="3" t="s">
        <v>369</v>
      </c>
      <c r="K69" s="2" t="s">
        <v>4</v>
      </c>
      <c r="L69" s="3" t="s">
        <v>50</v>
      </c>
      <c r="M69" s="5" t="s">
        <v>51</v>
      </c>
      <c r="N69" s="2" t="s">
        <v>52</v>
      </c>
    </row>
    <row r="70" ht="48" customHeight="1" spans="1:14">
      <c r="A70" s="2">
        <v>66</v>
      </c>
      <c r="B70" s="3" t="s">
        <v>370</v>
      </c>
      <c r="C70" s="3" t="s">
        <v>371</v>
      </c>
      <c r="D70" s="3" t="s">
        <v>25</v>
      </c>
      <c r="E70" s="3" t="s">
        <v>372</v>
      </c>
      <c r="F70" s="4">
        <v>45411</v>
      </c>
      <c r="G70" s="3" t="s">
        <v>325</v>
      </c>
      <c r="H70" s="3" t="s">
        <v>373</v>
      </c>
      <c r="I70" s="3" t="s">
        <v>374</v>
      </c>
      <c r="J70" s="3" t="s">
        <v>375</v>
      </c>
      <c r="K70" s="2" t="s">
        <v>4</v>
      </c>
      <c r="L70" s="3" t="s">
        <v>50</v>
      </c>
      <c r="M70" s="5" t="s">
        <v>51</v>
      </c>
      <c r="N70" s="2" t="s">
        <v>52</v>
      </c>
    </row>
    <row r="71" ht="48" customHeight="1" spans="1:14">
      <c r="A71" s="2">
        <v>67</v>
      </c>
      <c r="B71" s="3" t="s">
        <v>376</v>
      </c>
      <c r="C71" s="3" t="s">
        <v>377</v>
      </c>
      <c r="D71" s="3" t="s">
        <v>25</v>
      </c>
      <c r="E71" s="3" t="s">
        <v>378</v>
      </c>
      <c r="F71" s="4">
        <v>44743</v>
      </c>
      <c r="G71" s="3" t="s">
        <v>160</v>
      </c>
      <c r="H71" s="3" t="s">
        <v>379</v>
      </c>
      <c r="I71" s="3" t="s">
        <v>380</v>
      </c>
      <c r="J71" s="3" t="s">
        <v>381</v>
      </c>
      <c r="K71" s="2" t="s">
        <v>4</v>
      </c>
      <c r="L71" s="3" t="s">
        <v>50</v>
      </c>
      <c r="M71" s="5" t="s">
        <v>51</v>
      </c>
      <c r="N71" s="2" t="s">
        <v>52</v>
      </c>
    </row>
    <row r="72" ht="48" customHeight="1" spans="1:14">
      <c r="A72" s="2">
        <v>68</v>
      </c>
      <c r="B72" s="3" t="s">
        <v>382</v>
      </c>
      <c r="C72" s="3" t="s">
        <v>383</v>
      </c>
      <c r="D72" s="3" t="s">
        <v>25</v>
      </c>
      <c r="E72" s="3" t="s">
        <v>384</v>
      </c>
      <c r="F72" s="4">
        <v>44328</v>
      </c>
      <c r="G72" s="3" t="s">
        <v>160</v>
      </c>
      <c r="H72" s="3" t="s">
        <v>385</v>
      </c>
      <c r="I72" s="3" t="s">
        <v>386</v>
      </c>
      <c r="J72" s="3" t="s">
        <v>387</v>
      </c>
      <c r="K72" s="2" t="s">
        <v>4</v>
      </c>
      <c r="L72" s="3" t="s">
        <v>50</v>
      </c>
      <c r="M72" s="5" t="s">
        <v>51</v>
      </c>
      <c r="N72" s="2" t="s">
        <v>52</v>
      </c>
    </row>
    <row r="73" ht="48" customHeight="1" spans="1:14">
      <c r="A73" s="2">
        <v>69</v>
      </c>
      <c r="B73" s="3" t="s">
        <v>388</v>
      </c>
      <c r="C73" s="3" t="s">
        <v>389</v>
      </c>
      <c r="D73" s="3" t="s">
        <v>25</v>
      </c>
      <c r="E73" s="3" t="s">
        <v>390</v>
      </c>
      <c r="F73" s="4">
        <v>45446</v>
      </c>
      <c r="G73" s="3" t="s">
        <v>160</v>
      </c>
      <c r="H73" s="3" t="s">
        <v>391</v>
      </c>
      <c r="I73" s="3" t="s">
        <v>392</v>
      </c>
      <c r="J73" s="3" t="s">
        <v>393</v>
      </c>
      <c r="K73" s="2" t="s">
        <v>4</v>
      </c>
      <c r="L73" s="3" t="s">
        <v>50</v>
      </c>
      <c r="M73" s="5" t="s">
        <v>51</v>
      </c>
      <c r="N73" s="2" t="s">
        <v>52</v>
      </c>
    </row>
    <row r="74" ht="48" customHeight="1" spans="1:14">
      <c r="A74" s="2">
        <v>70</v>
      </c>
      <c r="B74" s="3" t="s">
        <v>394</v>
      </c>
      <c r="C74" s="3" t="s">
        <v>395</v>
      </c>
      <c r="D74" s="3" t="s">
        <v>25</v>
      </c>
      <c r="E74" s="3" t="s">
        <v>202</v>
      </c>
      <c r="F74" s="4">
        <v>45020</v>
      </c>
      <c r="G74" s="3" t="s">
        <v>160</v>
      </c>
      <c r="H74" s="3" t="s">
        <v>396</v>
      </c>
      <c r="I74" s="3" t="s">
        <v>397</v>
      </c>
      <c r="J74" s="3" t="s">
        <v>398</v>
      </c>
      <c r="K74" s="2" t="s">
        <v>4</v>
      </c>
      <c r="L74" s="3" t="s">
        <v>50</v>
      </c>
      <c r="M74" s="5" t="s">
        <v>51</v>
      </c>
      <c r="N74" s="2" t="s">
        <v>52</v>
      </c>
    </row>
    <row r="75" ht="48" customHeight="1" spans="1:14">
      <c r="A75" s="2">
        <v>71</v>
      </c>
      <c r="B75" s="3" t="s">
        <v>399</v>
      </c>
      <c r="C75" s="3" t="s">
        <v>400</v>
      </c>
      <c r="D75" s="3" t="s">
        <v>25</v>
      </c>
      <c r="E75" s="3" t="s">
        <v>401</v>
      </c>
      <c r="F75" s="4">
        <v>44704</v>
      </c>
      <c r="G75" s="3" t="s">
        <v>160</v>
      </c>
      <c r="H75" s="3" t="s">
        <v>402</v>
      </c>
      <c r="I75" s="3" t="s">
        <v>403</v>
      </c>
      <c r="J75" s="3" t="s">
        <v>404</v>
      </c>
      <c r="K75" s="2" t="s">
        <v>4</v>
      </c>
      <c r="L75" s="3" t="s">
        <v>50</v>
      </c>
      <c r="M75" s="5" t="s">
        <v>51</v>
      </c>
      <c r="N75" s="2" t="s">
        <v>52</v>
      </c>
    </row>
    <row r="76" ht="48" customHeight="1" spans="1:14">
      <c r="A76" s="2">
        <v>72</v>
      </c>
      <c r="B76" s="3" t="s">
        <v>405</v>
      </c>
      <c r="C76" s="3" t="s">
        <v>406</v>
      </c>
      <c r="D76" s="3" t="s">
        <v>25</v>
      </c>
      <c r="E76" s="3" t="s">
        <v>209</v>
      </c>
      <c r="F76" s="4">
        <v>45455</v>
      </c>
      <c r="G76" s="3" t="s">
        <v>160</v>
      </c>
      <c r="H76" s="3" t="s">
        <v>407</v>
      </c>
      <c r="I76" s="3" t="s">
        <v>408</v>
      </c>
      <c r="J76" s="3" t="s">
        <v>409</v>
      </c>
      <c r="K76" s="2" t="s">
        <v>4</v>
      </c>
      <c r="L76" s="3" t="s">
        <v>50</v>
      </c>
      <c r="M76" s="5" t="s">
        <v>51</v>
      </c>
      <c r="N76" s="2" t="s">
        <v>52</v>
      </c>
    </row>
    <row r="77" ht="48" customHeight="1" spans="1:14">
      <c r="A77" s="2">
        <v>73</v>
      </c>
      <c r="B77" s="3" t="s">
        <v>410</v>
      </c>
      <c r="C77" s="3" t="s">
        <v>411</v>
      </c>
      <c r="D77" s="3" t="s">
        <v>25</v>
      </c>
      <c r="E77" s="3" t="s">
        <v>412</v>
      </c>
      <c r="F77" s="4">
        <v>45461</v>
      </c>
      <c r="G77" s="3" t="s">
        <v>160</v>
      </c>
      <c r="H77" s="3" t="s">
        <v>413</v>
      </c>
      <c r="I77" s="3" t="s">
        <v>414</v>
      </c>
      <c r="J77" s="3" t="s">
        <v>415</v>
      </c>
      <c r="K77" s="2" t="s">
        <v>4</v>
      </c>
      <c r="L77" s="3" t="s">
        <v>50</v>
      </c>
      <c r="M77" s="5" t="s">
        <v>51</v>
      </c>
      <c r="N77" s="2" t="s">
        <v>52</v>
      </c>
    </row>
    <row r="78" ht="48" customHeight="1" spans="1:14">
      <c r="A78" s="2">
        <v>74</v>
      </c>
      <c r="B78" s="3" t="s">
        <v>416</v>
      </c>
      <c r="C78" s="3" t="s">
        <v>417</v>
      </c>
      <c r="D78" s="3" t="s">
        <v>25</v>
      </c>
      <c r="E78" s="3" t="s">
        <v>418</v>
      </c>
      <c r="F78" s="4">
        <v>44368</v>
      </c>
      <c r="G78" s="3" t="s">
        <v>160</v>
      </c>
      <c r="H78" s="3" t="s">
        <v>419</v>
      </c>
      <c r="I78" s="3" t="s">
        <v>420</v>
      </c>
      <c r="J78" s="3" t="s">
        <v>421</v>
      </c>
      <c r="K78" s="2" t="s">
        <v>4</v>
      </c>
      <c r="L78" s="3" t="s">
        <v>50</v>
      </c>
      <c r="M78" s="5" t="s">
        <v>51</v>
      </c>
      <c r="N78" s="2" t="s">
        <v>52</v>
      </c>
    </row>
    <row r="79" ht="48" customHeight="1" spans="1:14">
      <c r="A79" s="2">
        <v>75</v>
      </c>
      <c r="B79" s="3" t="s">
        <v>422</v>
      </c>
      <c r="C79" s="3" t="s">
        <v>423</v>
      </c>
      <c r="D79" s="3" t="s">
        <v>25</v>
      </c>
      <c r="E79" s="3" t="s">
        <v>424</v>
      </c>
      <c r="F79" s="4">
        <v>45456</v>
      </c>
      <c r="G79" s="3" t="s">
        <v>160</v>
      </c>
      <c r="H79" s="3" t="s">
        <v>425</v>
      </c>
      <c r="I79" s="3" t="s">
        <v>426</v>
      </c>
      <c r="J79" s="3" t="s">
        <v>427</v>
      </c>
      <c r="K79" s="2" t="s">
        <v>4</v>
      </c>
      <c r="L79" s="3" t="s">
        <v>50</v>
      </c>
      <c r="M79" s="5" t="s">
        <v>51</v>
      </c>
      <c r="N79" s="2" t="s">
        <v>52</v>
      </c>
    </row>
    <row r="80" ht="48" customHeight="1" spans="1:14">
      <c r="A80" s="2">
        <v>76</v>
      </c>
      <c r="B80" s="3" t="s">
        <v>428</v>
      </c>
      <c r="C80" s="3" t="s">
        <v>429</v>
      </c>
      <c r="D80" s="3" t="s">
        <v>25</v>
      </c>
      <c r="E80" s="3" t="s">
        <v>275</v>
      </c>
      <c r="F80" s="4">
        <v>45790</v>
      </c>
      <c r="G80" s="3" t="s">
        <v>160</v>
      </c>
      <c r="H80" s="3" t="s">
        <v>430</v>
      </c>
      <c r="I80" s="3" t="s">
        <v>431</v>
      </c>
      <c r="J80" s="3" t="s">
        <v>432</v>
      </c>
      <c r="K80" s="2" t="s">
        <v>4</v>
      </c>
      <c r="L80" s="3" t="s">
        <v>50</v>
      </c>
      <c r="M80" s="5" t="s">
        <v>51</v>
      </c>
      <c r="N80" s="2" t="s">
        <v>52</v>
      </c>
    </row>
    <row r="81" ht="48" customHeight="1" spans="1:14">
      <c r="A81" s="2">
        <v>77</v>
      </c>
      <c r="B81" s="3" t="s">
        <v>433</v>
      </c>
      <c r="C81" s="3" t="s">
        <v>434</v>
      </c>
      <c r="D81" s="3" t="s">
        <v>25</v>
      </c>
      <c r="E81" s="3" t="s">
        <v>317</v>
      </c>
      <c r="F81" s="4">
        <v>45783</v>
      </c>
      <c r="G81" s="3" t="s">
        <v>160</v>
      </c>
      <c r="H81" s="3" t="s">
        <v>435</v>
      </c>
      <c r="I81" s="3" t="s">
        <v>436</v>
      </c>
      <c r="J81" s="3" t="s">
        <v>437</v>
      </c>
      <c r="K81" s="2" t="s">
        <v>4</v>
      </c>
      <c r="L81" s="3" t="s">
        <v>50</v>
      </c>
      <c r="M81" s="5" t="s">
        <v>51</v>
      </c>
      <c r="N81" s="2" t="s">
        <v>52</v>
      </c>
    </row>
    <row r="82" ht="48" customHeight="1" spans="1:14">
      <c r="A82" s="2">
        <v>78</v>
      </c>
      <c r="B82" s="3" t="s">
        <v>438</v>
      </c>
      <c r="C82" s="3" t="s">
        <v>439</v>
      </c>
      <c r="D82" s="3" t="s">
        <v>25</v>
      </c>
      <c r="E82" s="3" t="s">
        <v>440</v>
      </c>
      <c r="F82" s="4">
        <v>45418</v>
      </c>
      <c r="G82" s="3" t="s">
        <v>325</v>
      </c>
      <c r="H82" s="3" t="s">
        <v>441</v>
      </c>
      <c r="I82" s="3" t="s">
        <v>333</v>
      </c>
      <c r="J82" s="3" t="s">
        <v>442</v>
      </c>
      <c r="K82" s="2" t="s">
        <v>4</v>
      </c>
      <c r="L82" s="3" t="s">
        <v>50</v>
      </c>
      <c r="M82" s="5" t="s">
        <v>51</v>
      </c>
      <c r="N82" s="2" t="s">
        <v>52</v>
      </c>
    </row>
    <row r="83" ht="48" customHeight="1" spans="1:14">
      <c r="A83" s="2">
        <v>79</v>
      </c>
      <c r="B83" s="3" t="s">
        <v>443</v>
      </c>
      <c r="C83" s="3" t="s">
        <v>444</v>
      </c>
      <c r="D83" s="3" t="s">
        <v>25</v>
      </c>
      <c r="E83" s="3" t="s">
        <v>445</v>
      </c>
      <c r="F83" s="4">
        <v>45051</v>
      </c>
      <c r="G83" s="3" t="s">
        <v>325</v>
      </c>
      <c r="H83" s="3" t="s">
        <v>446</v>
      </c>
      <c r="I83" s="3" t="s">
        <v>447</v>
      </c>
      <c r="J83" s="3" t="s">
        <v>448</v>
      </c>
      <c r="K83" s="2" t="s">
        <v>4</v>
      </c>
      <c r="L83" s="3" t="s">
        <v>50</v>
      </c>
      <c r="M83" s="5" t="s">
        <v>51</v>
      </c>
      <c r="N83" s="2" t="s">
        <v>52</v>
      </c>
    </row>
    <row r="84" ht="48" customHeight="1" spans="1:14">
      <c r="A84" s="2">
        <v>80</v>
      </c>
      <c r="B84" s="3" t="s">
        <v>449</v>
      </c>
      <c r="C84" s="3" t="s">
        <v>450</v>
      </c>
      <c r="D84" s="3" t="s">
        <v>25</v>
      </c>
      <c r="E84" s="3" t="s">
        <v>445</v>
      </c>
      <c r="F84" s="4">
        <v>45454</v>
      </c>
      <c r="G84" s="3" t="s">
        <v>325</v>
      </c>
      <c r="H84" s="3" t="s">
        <v>451</v>
      </c>
      <c r="I84" s="3" t="s">
        <v>452</v>
      </c>
      <c r="J84" s="3" t="s">
        <v>453</v>
      </c>
      <c r="K84" s="2" t="s">
        <v>4</v>
      </c>
      <c r="L84" s="3" t="s">
        <v>50</v>
      </c>
      <c r="M84" s="5" t="s">
        <v>51</v>
      </c>
      <c r="N84" s="2" t="s">
        <v>52</v>
      </c>
    </row>
    <row r="85" ht="48" customHeight="1" spans="1:14">
      <c r="A85" s="2">
        <v>81</v>
      </c>
      <c r="B85" s="3" t="s">
        <v>454</v>
      </c>
      <c r="C85" s="3" t="s">
        <v>455</v>
      </c>
      <c r="D85" s="3" t="s">
        <v>26</v>
      </c>
      <c r="E85" s="3" t="s">
        <v>172</v>
      </c>
      <c r="F85" s="4">
        <v>45107</v>
      </c>
      <c r="G85" s="3" t="s">
        <v>160</v>
      </c>
      <c r="H85" s="3" t="s">
        <v>456</v>
      </c>
      <c r="I85" s="3" t="s">
        <v>457</v>
      </c>
      <c r="J85" s="3" t="s">
        <v>458</v>
      </c>
      <c r="K85" s="2" t="s">
        <v>4</v>
      </c>
      <c r="L85" s="3" t="s">
        <v>50</v>
      </c>
      <c r="M85" s="5" t="s">
        <v>51</v>
      </c>
      <c r="N85" s="2" t="s">
        <v>52</v>
      </c>
    </row>
    <row r="86" ht="48" customHeight="1" spans="1:14">
      <c r="A86" s="2">
        <v>82</v>
      </c>
      <c r="B86" s="3" t="s">
        <v>459</v>
      </c>
      <c r="C86" s="3" t="s">
        <v>460</v>
      </c>
      <c r="D86" s="3" t="s">
        <v>26</v>
      </c>
      <c r="E86" s="3" t="s">
        <v>461</v>
      </c>
      <c r="F86" s="4">
        <v>44740</v>
      </c>
      <c r="G86" s="3" t="s">
        <v>160</v>
      </c>
      <c r="H86" s="3" t="s">
        <v>462</v>
      </c>
      <c r="I86" s="3" t="s">
        <v>463</v>
      </c>
      <c r="J86" s="3" t="s">
        <v>464</v>
      </c>
      <c r="K86" s="2" t="s">
        <v>4</v>
      </c>
      <c r="L86" s="3" t="s">
        <v>50</v>
      </c>
      <c r="M86" s="5" t="s">
        <v>51</v>
      </c>
      <c r="N86" s="2" t="s">
        <v>52</v>
      </c>
    </row>
    <row r="87" ht="48" customHeight="1" spans="1:14">
      <c r="A87" s="2">
        <v>83</v>
      </c>
      <c r="B87" s="3" t="s">
        <v>465</v>
      </c>
      <c r="C87" s="3" t="s">
        <v>466</v>
      </c>
      <c r="D87" s="3" t="s">
        <v>26</v>
      </c>
      <c r="E87" s="3" t="s">
        <v>467</v>
      </c>
      <c r="F87" s="4">
        <v>45516</v>
      </c>
      <c r="G87" s="3" t="s">
        <v>160</v>
      </c>
      <c r="H87" s="3" t="s">
        <v>468</v>
      </c>
      <c r="I87" s="3" t="s">
        <v>469</v>
      </c>
      <c r="J87" s="3" t="s">
        <v>470</v>
      </c>
      <c r="K87" s="2" t="s">
        <v>4</v>
      </c>
      <c r="L87" s="3" t="s">
        <v>50</v>
      </c>
      <c r="M87" s="5" t="s">
        <v>51</v>
      </c>
      <c r="N87" s="2" t="s">
        <v>52</v>
      </c>
    </row>
    <row r="88" ht="48" customHeight="1" spans="1:14">
      <c r="A88" s="2">
        <v>84</v>
      </c>
      <c r="B88" s="3" t="s">
        <v>471</v>
      </c>
      <c r="C88" s="3" t="s">
        <v>472</v>
      </c>
      <c r="D88" s="3" t="s">
        <v>26</v>
      </c>
      <c r="E88" s="3" t="s">
        <v>473</v>
      </c>
      <c r="F88" s="4">
        <v>45142</v>
      </c>
      <c r="G88" s="3" t="s">
        <v>160</v>
      </c>
      <c r="H88" s="3" t="s">
        <v>474</v>
      </c>
      <c r="I88" s="3" t="s">
        <v>475</v>
      </c>
      <c r="J88" s="3" t="s">
        <v>476</v>
      </c>
      <c r="K88" s="2" t="s">
        <v>4</v>
      </c>
      <c r="L88" s="3" t="s">
        <v>50</v>
      </c>
      <c r="M88" s="5" t="s">
        <v>51</v>
      </c>
      <c r="N88" s="2" t="s">
        <v>52</v>
      </c>
    </row>
    <row r="89" ht="48" customHeight="1" spans="1:14">
      <c r="A89" s="2">
        <v>85</v>
      </c>
      <c r="B89" s="3" t="s">
        <v>477</v>
      </c>
      <c r="C89" s="3" t="s">
        <v>478</v>
      </c>
      <c r="D89" s="3" t="s">
        <v>26</v>
      </c>
      <c r="E89" s="3" t="s">
        <v>479</v>
      </c>
      <c r="F89" s="4">
        <v>45516</v>
      </c>
      <c r="G89" s="3" t="s">
        <v>160</v>
      </c>
      <c r="H89" s="3" t="s">
        <v>480</v>
      </c>
      <c r="I89" s="3" t="s">
        <v>481</v>
      </c>
      <c r="J89" s="3" t="s">
        <v>482</v>
      </c>
      <c r="K89" s="2" t="s">
        <v>4</v>
      </c>
      <c r="L89" s="3" t="s">
        <v>50</v>
      </c>
      <c r="M89" s="5" t="s">
        <v>51</v>
      </c>
      <c r="N89" s="2" t="s">
        <v>52</v>
      </c>
    </row>
    <row r="90" ht="48" customHeight="1" spans="1:14">
      <c r="A90" s="2">
        <v>86</v>
      </c>
      <c r="B90" s="3" t="s">
        <v>483</v>
      </c>
      <c r="C90" s="3" t="s">
        <v>484</v>
      </c>
      <c r="D90" s="3" t="s">
        <v>26</v>
      </c>
      <c r="E90" s="3" t="s">
        <v>251</v>
      </c>
      <c r="F90" s="4">
        <v>44739</v>
      </c>
      <c r="G90" s="3" t="s">
        <v>160</v>
      </c>
      <c r="H90" s="3" t="s">
        <v>485</v>
      </c>
      <c r="I90" s="3" t="s">
        <v>486</v>
      </c>
      <c r="J90" s="3" t="s">
        <v>487</v>
      </c>
      <c r="K90" s="2" t="s">
        <v>4</v>
      </c>
      <c r="L90" s="3" t="s">
        <v>50</v>
      </c>
      <c r="M90" s="5" t="s">
        <v>51</v>
      </c>
      <c r="N90" s="2" t="s">
        <v>52</v>
      </c>
    </row>
    <row r="91" ht="48" customHeight="1" spans="1:14">
      <c r="A91" s="2">
        <v>87</v>
      </c>
      <c r="B91" s="3" t="s">
        <v>488</v>
      </c>
      <c r="C91" s="3" t="s">
        <v>489</v>
      </c>
      <c r="D91" s="3" t="s">
        <v>26</v>
      </c>
      <c r="E91" s="3" t="s">
        <v>269</v>
      </c>
      <c r="F91" s="4">
        <v>45859</v>
      </c>
      <c r="G91" s="3" t="s">
        <v>160</v>
      </c>
      <c r="H91" s="3" t="s">
        <v>490</v>
      </c>
      <c r="I91" s="3" t="s">
        <v>491</v>
      </c>
      <c r="J91" s="3" t="s">
        <v>492</v>
      </c>
      <c r="K91" s="2" t="s">
        <v>4</v>
      </c>
      <c r="L91" s="3" t="s">
        <v>50</v>
      </c>
      <c r="M91" s="5" t="s">
        <v>51</v>
      </c>
      <c r="N91" s="2" t="s">
        <v>52</v>
      </c>
    </row>
    <row r="92" ht="48" customHeight="1" spans="1:14">
      <c r="A92" s="2">
        <v>88</v>
      </c>
      <c r="B92" s="3" t="s">
        <v>493</v>
      </c>
      <c r="C92" s="3" t="s">
        <v>494</v>
      </c>
      <c r="D92" s="3" t="s">
        <v>26</v>
      </c>
      <c r="E92" s="3" t="s">
        <v>495</v>
      </c>
      <c r="F92" s="4">
        <v>45113</v>
      </c>
      <c r="G92" s="3" t="s">
        <v>160</v>
      </c>
      <c r="H92" s="3" t="s">
        <v>496</v>
      </c>
      <c r="I92" s="3" t="s">
        <v>497</v>
      </c>
      <c r="J92" s="3" t="s">
        <v>498</v>
      </c>
      <c r="K92" s="2" t="s">
        <v>4</v>
      </c>
      <c r="L92" s="3" t="s">
        <v>50</v>
      </c>
      <c r="M92" s="5" t="s">
        <v>51</v>
      </c>
      <c r="N92" s="2" t="s">
        <v>52</v>
      </c>
    </row>
    <row r="93" ht="48" customHeight="1" spans="1:14">
      <c r="A93" s="2">
        <v>89</v>
      </c>
      <c r="B93" s="3" t="s">
        <v>499</v>
      </c>
      <c r="C93" s="3" t="s">
        <v>500</v>
      </c>
      <c r="D93" s="3" t="s">
        <v>26</v>
      </c>
      <c r="E93" s="3" t="s">
        <v>501</v>
      </c>
      <c r="F93" s="4">
        <v>44452</v>
      </c>
      <c r="G93" s="3" t="s">
        <v>325</v>
      </c>
      <c r="H93" s="3" t="s">
        <v>502</v>
      </c>
      <c r="I93" s="3" t="s">
        <v>503</v>
      </c>
      <c r="J93" s="3" t="s">
        <v>504</v>
      </c>
      <c r="K93" s="2" t="s">
        <v>4</v>
      </c>
      <c r="L93" s="3" t="s">
        <v>50</v>
      </c>
      <c r="M93" s="5" t="s">
        <v>51</v>
      </c>
      <c r="N93" s="2" t="s">
        <v>52</v>
      </c>
    </row>
    <row r="94" ht="48" customHeight="1" spans="1:14">
      <c r="A94" s="2">
        <v>90</v>
      </c>
      <c r="B94" s="3" t="s">
        <v>505</v>
      </c>
      <c r="C94" s="3" t="s">
        <v>506</v>
      </c>
      <c r="D94" s="3" t="s">
        <v>26</v>
      </c>
      <c r="E94" s="3" t="s">
        <v>507</v>
      </c>
      <c r="F94" s="4">
        <v>44735</v>
      </c>
      <c r="G94" s="3" t="s">
        <v>325</v>
      </c>
      <c r="H94" s="3" t="s">
        <v>508</v>
      </c>
      <c r="I94" s="3" t="s">
        <v>509</v>
      </c>
      <c r="J94" s="3" t="s">
        <v>510</v>
      </c>
      <c r="K94" s="2" t="s">
        <v>4</v>
      </c>
      <c r="L94" s="3" t="s">
        <v>50</v>
      </c>
      <c r="M94" s="5" t="s">
        <v>51</v>
      </c>
      <c r="N94" s="2" t="s">
        <v>52</v>
      </c>
    </row>
    <row r="95" ht="48" customHeight="1" spans="1:14">
      <c r="A95" s="2">
        <v>91</v>
      </c>
      <c r="B95" s="3" t="s">
        <v>511</v>
      </c>
      <c r="C95" s="3" t="s">
        <v>512</v>
      </c>
      <c r="D95" s="3" t="s">
        <v>26</v>
      </c>
      <c r="E95" s="3" t="s">
        <v>513</v>
      </c>
      <c r="F95" s="4">
        <v>44679</v>
      </c>
      <c r="G95" s="3" t="s">
        <v>325</v>
      </c>
      <c r="H95" s="3" t="s">
        <v>514</v>
      </c>
      <c r="I95" s="3" t="s">
        <v>515</v>
      </c>
      <c r="J95" s="3" t="s">
        <v>516</v>
      </c>
      <c r="K95" s="2" t="s">
        <v>4</v>
      </c>
      <c r="L95" s="3" t="s">
        <v>50</v>
      </c>
      <c r="M95" s="5" t="s">
        <v>51</v>
      </c>
      <c r="N95" s="2" t="s">
        <v>52</v>
      </c>
    </row>
    <row r="96" ht="48" customHeight="1" spans="1:14">
      <c r="A96" s="2">
        <v>92</v>
      </c>
      <c r="B96" s="3" t="s">
        <v>517</v>
      </c>
      <c r="C96" s="3" t="s">
        <v>518</v>
      </c>
      <c r="D96" s="3" t="s">
        <v>26</v>
      </c>
      <c r="E96" s="3" t="s">
        <v>519</v>
      </c>
      <c r="F96" s="4">
        <v>45863</v>
      </c>
      <c r="G96" s="3" t="s">
        <v>325</v>
      </c>
      <c r="H96" s="3" t="s">
        <v>520</v>
      </c>
      <c r="I96" s="3" t="s">
        <v>521</v>
      </c>
      <c r="J96" s="3" t="s">
        <v>522</v>
      </c>
      <c r="K96" s="2" t="s">
        <v>4</v>
      </c>
      <c r="L96" s="3" t="s">
        <v>50</v>
      </c>
      <c r="M96" s="5" t="s">
        <v>51</v>
      </c>
      <c r="N96" s="2" t="s">
        <v>52</v>
      </c>
    </row>
    <row r="97" ht="48" customHeight="1" spans="1:14">
      <c r="A97" s="2">
        <v>93</v>
      </c>
      <c r="B97" s="3" t="s">
        <v>523</v>
      </c>
      <c r="C97" s="3" t="s">
        <v>524</v>
      </c>
      <c r="D97" s="3" t="s">
        <v>26</v>
      </c>
      <c r="E97" s="3" t="s">
        <v>525</v>
      </c>
      <c r="F97" s="4">
        <v>45722</v>
      </c>
      <c r="G97" s="3" t="s">
        <v>325</v>
      </c>
      <c r="H97" s="3" t="s">
        <v>526</v>
      </c>
      <c r="I97" s="3" t="s">
        <v>527</v>
      </c>
      <c r="J97" s="3" t="s">
        <v>528</v>
      </c>
      <c r="K97" s="2" t="s">
        <v>4</v>
      </c>
      <c r="L97" s="3" t="s">
        <v>50</v>
      </c>
      <c r="M97" s="5" t="s">
        <v>51</v>
      </c>
      <c r="N97" s="2" t="s">
        <v>52</v>
      </c>
    </row>
    <row r="98" ht="48" customHeight="1" spans="1:14">
      <c r="A98" s="2">
        <v>94</v>
      </c>
      <c r="B98" s="3" t="s">
        <v>529</v>
      </c>
      <c r="C98" s="3" t="s">
        <v>530</v>
      </c>
      <c r="D98" s="3" t="s">
        <v>26</v>
      </c>
      <c r="E98" s="3" t="s">
        <v>531</v>
      </c>
      <c r="F98" s="4">
        <v>46199</v>
      </c>
      <c r="G98" s="3" t="s">
        <v>325</v>
      </c>
      <c r="H98" s="3" t="s">
        <v>532</v>
      </c>
      <c r="I98" s="3" t="s">
        <v>533</v>
      </c>
      <c r="J98" s="3" t="s">
        <v>534</v>
      </c>
      <c r="K98" s="2" t="s">
        <v>4</v>
      </c>
      <c r="L98" s="3" t="s">
        <v>50</v>
      </c>
      <c r="M98" s="5" t="s">
        <v>51</v>
      </c>
      <c r="N98" s="2" t="s">
        <v>52</v>
      </c>
    </row>
    <row r="99" ht="48" customHeight="1" spans="1:14">
      <c r="A99" s="2">
        <v>95</v>
      </c>
      <c r="B99" s="3" t="s">
        <v>535</v>
      </c>
      <c r="C99" s="3" t="s">
        <v>536</v>
      </c>
      <c r="D99" s="3" t="s">
        <v>26</v>
      </c>
      <c r="E99" s="3" t="s">
        <v>537</v>
      </c>
      <c r="F99" s="4">
        <v>45859</v>
      </c>
      <c r="G99" s="3" t="s">
        <v>325</v>
      </c>
      <c r="H99" s="3" t="s">
        <v>538</v>
      </c>
      <c r="I99" s="3" t="s">
        <v>539</v>
      </c>
      <c r="J99" s="3" t="s">
        <v>540</v>
      </c>
      <c r="K99" s="2" t="s">
        <v>4</v>
      </c>
      <c r="L99" s="3" t="s">
        <v>50</v>
      </c>
      <c r="M99" s="5" t="s">
        <v>51</v>
      </c>
      <c r="N99" s="2" t="s">
        <v>52</v>
      </c>
    </row>
    <row r="100" ht="48" customHeight="1" spans="1:14">
      <c r="A100" s="2">
        <v>96</v>
      </c>
      <c r="B100" s="3" t="s">
        <v>541</v>
      </c>
      <c r="C100" s="3" t="s">
        <v>542</v>
      </c>
      <c r="D100" s="3" t="s">
        <v>26</v>
      </c>
      <c r="E100" s="3" t="s">
        <v>543</v>
      </c>
      <c r="F100" s="4">
        <v>44726</v>
      </c>
      <c r="G100" s="3" t="s">
        <v>325</v>
      </c>
      <c r="H100" s="3" t="s">
        <v>544</v>
      </c>
      <c r="I100" s="3" t="s">
        <v>545</v>
      </c>
      <c r="J100" s="3" t="s">
        <v>546</v>
      </c>
      <c r="K100" s="2" t="s">
        <v>4</v>
      </c>
      <c r="L100" s="3" t="s">
        <v>50</v>
      </c>
      <c r="M100" s="5" t="s">
        <v>51</v>
      </c>
      <c r="N100" s="2" t="s">
        <v>52</v>
      </c>
    </row>
    <row r="101" ht="48" customHeight="1" spans="1:14">
      <c r="A101" s="2">
        <v>97</v>
      </c>
      <c r="B101" s="3" t="s">
        <v>547</v>
      </c>
      <c r="C101" s="3" t="s">
        <v>548</v>
      </c>
      <c r="D101" s="3" t="s">
        <v>26</v>
      </c>
      <c r="E101" s="3" t="s">
        <v>549</v>
      </c>
      <c r="F101" s="4">
        <v>45105</v>
      </c>
      <c r="G101" s="3" t="s">
        <v>325</v>
      </c>
      <c r="H101" s="3" t="s">
        <v>550</v>
      </c>
      <c r="I101" s="3" t="s">
        <v>551</v>
      </c>
      <c r="J101" s="3" t="s">
        <v>552</v>
      </c>
      <c r="K101" s="2" t="s">
        <v>4</v>
      </c>
      <c r="L101" s="3" t="s">
        <v>50</v>
      </c>
      <c r="M101" s="5" t="s">
        <v>51</v>
      </c>
      <c r="N101" s="2" t="s">
        <v>52</v>
      </c>
    </row>
    <row r="102" ht="48" customHeight="1" spans="1:14">
      <c r="A102" s="2">
        <v>98</v>
      </c>
      <c r="B102" s="3" t="s">
        <v>553</v>
      </c>
      <c r="C102" s="3" t="s">
        <v>554</v>
      </c>
      <c r="D102" s="3" t="s">
        <v>26</v>
      </c>
      <c r="E102" s="3" t="s">
        <v>555</v>
      </c>
      <c r="F102" s="4">
        <v>45720</v>
      </c>
      <c r="G102" s="3" t="s">
        <v>325</v>
      </c>
      <c r="H102" s="3" t="s">
        <v>556</v>
      </c>
      <c r="I102" s="3" t="s">
        <v>557</v>
      </c>
      <c r="J102" s="3" t="s">
        <v>558</v>
      </c>
      <c r="K102" s="2" t="s">
        <v>4</v>
      </c>
      <c r="L102" s="3" t="s">
        <v>50</v>
      </c>
      <c r="M102" s="5" t="s">
        <v>51</v>
      </c>
      <c r="N102" s="2" t="s">
        <v>52</v>
      </c>
    </row>
    <row r="103" ht="48" customHeight="1" spans="1:14">
      <c r="A103" s="2">
        <v>99</v>
      </c>
      <c r="B103" s="3" t="s">
        <v>559</v>
      </c>
      <c r="C103" s="3" t="s">
        <v>560</v>
      </c>
      <c r="D103" s="3" t="s">
        <v>26</v>
      </c>
      <c r="E103" s="3" t="s">
        <v>561</v>
      </c>
      <c r="F103" s="4">
        <v>44014</v>
      </c>
      <c r="G103" s="3" t="s">
        <v>325</v>
      </c>
      <c r="H103" s="3" t="s">
        <v>562</v>
      </c>
      <c r="I103" s="3" t="s">
        <v>563</v>
      </c>
      <c r="J103" s="3" t="s">
        <v>564</v>
      </c>
      <c r="K103" s="2" t="s">
        <v>4</v>
      </c>
      <c r="L103" s="3" t="s">
        <v>50</v>
      </c>
      <c r="M103" s="5" t="s">
        <v>51</v>
      </c>
      <c r="N103" s="2" t="s">
        <v>52</v>
      </c>
    </row>
    <row r="104" ht="48" customHeight="1" spans="1:14">
      <c r="A104" s="2">
        <v>100</v>
      </c>
      <c r="B104" s="3" t="s">
        <v>565</v>
      </c>
      <c r="C104" s="3" t="s">
        <v>566</v>
      </c>
      <c r="D104" s="3" t="s">
        <v>26</v>
      </c>
      <c r="E104" s="3" t="s">
        <v>567</v>
      </c>
      <c r="F104" s="4">
        <v>45905</v>
      </c>
      <c r="G104" s="3" t="s">
        <v>325</v>
      </c>
      <c r="H104" s="3" t="s">
        <v>568</v>
      </c>
      <c r="I104" s="3" t="s">
        <v>569</v>
      </c>
      <c r="J104" s="3" t="s">
        <v>570</v>
      </c>
      <c r="K104" s="2" t="s">
        <v>4</v>
      </c>
      <c r="L104" s="3" t="s">
        <v>50</v>
      </c>
      <c r="M104" s="5" t="s">
        <v>51</v>
      </c>
      <c r="N104" s="2" t="s">
        <v>52</v>
      </c>
    </row>
    <row r="105" ht="48" customHeight="1" spans="1:14">
      <c r="A105" s="2">
        <v>101</v>
      </c>
      <c r="B105" s="3" t="s">
        <v>571</v>
      </c>
      <c r="C105" s="3" t="s">
        <v>572</v>
      </c>
      <c r="D105" s="3" t="s">
        <v>573</v>
      </c>
      <c r="E105" s="3" t="s">
        <v>574</v>
      </c>
      <c r="F105" s="4">
        <v>44798</v>
      </c>
      <c r="G105" s="3" t="s">
        <v>575</v>
      </c>
      <c r="H105" s="3" t="s">
        <v>576</v>
      </c>
      <c r="I105" s="3" t="s">
        <v>577</v>
      </c>
      <c r="J105" s="3" t="s">
        <v>578</v>
      </c>
      <c r="K105" s="2" t="s">
        <v>4</v>
      </c>
      <c r="L105" s="3" t="s">
        <v>50</v>
      </c>
      <c r="M105" s="5" t="s">
        <v>51</v>
      </c>
      <c r="N105" s="2" t="s">
        <v>52</v>
      </c>
    </row>
    <row r="106" ht="48" customHeight="1" spans="1:14">
      <c r="A106" s="2">
        <v>102</v>
      </c>
      <c r="B106" s="3" t="s">
        <v>579</v>
      </c>
      <c r="C106" s="3" t="s">
        <v>580</v>
      </c>
      <c r="D106" s="3" t="s">
        <v>573</v>
      </c>
      <c r="E106" s="3" t="s">
        <v>574</v>
      </c>
      <c r="F106" s="4">
        <v>45163</v>
      </c>
      <c r="G106" s="3" t="s">
        <v>575</v>
      </c>
      <c r="H106" s="3" t="s">
        <v>581</v>
      </c>
      <c r="I106" s="3" t="s">
        <v>582</v>
      </c>
      <c r="J106" s="3" t="s">
        <v>583</v>
      </c>
      <c r="K106" s="2" t="s">
        <v>4</v>
      </c>
      <c r="L106" s="3" t="s">
        <v>50</v>
      </c>
      <c r="M106" s="5" t="s">
        <v>51</v>
      </c>
      <c r="N106" s="2" t="s">
        <v>52</v>
      </c>
    </row>
    <row r="107" ht="48" customHeight="1" spans="1:14">
      <c r="A107" s="2">
        <v>103</v>
      </c>
      <c r="B107" s="3" t="s">
        <v>584</v>
      </c>
      <c r="C107" s="3" t="s">
        <v>585</v>
      </c>
      <c r="D107" s="3" t="s">
        <v>573</v>
      </c>
      <c r="E107" s="3" t="s">
        <v>586</v>
      </c>
      <c r="F107" s="4">
        <v>44714</v>
      </c>
      <c r="G107" s="3" t="s">
        <v>575</v>
      </c>
      <c r="H107" s="3" t="s">
        <v>587</v>
      </c>
      <c r="I107" s="3" t="s">
        <v>588</v>
      </c>
      <c r="J107" s="3" t="s">
        <v>589</v>
      </c>
      <c r="K107" s="2" t="s">
        <v>4</v>
      </c>
      <c r="L107" s="3" t="s">
        <v>50</v>
      </c>
      <c r="M107" s="5" t="s">
        <v>51</v>
      </c>
      <c r="N107" s="2" t="s">
        <v>52</v>
      </c>
    </row>
    <row r="108" ht="48" customHeight="1" spans="1:14">
      <c r="A108" s="2">
        <v>104</v>
      </c>
      <c r="B108" s="3" t="s">
        <v>590</v>
      </c>
      <c r="C108" s="3" t="s">
        <v>591</v>
      </c>
      <c r="D108" s="3" t="s">
        <v>573</v>
      </c>
      <c r="E108" s="3" t="s">
        <v>586</v>
      </c>
      <c r="F108" s="4">
        <v>45078</v>
      </c>
      <c r="G108" s="3" t="s">
        <v>575</v>
      </c>
      <c r="H108" s="3" t="s">
        <v>592</v>
      </c>
      <c r="I108" s="3" t="s">
        <v>593</v>
      </c>
      <c r="J108" s="3" t="s">
        <v>594</v>
      </c>
      <c r="K108" s="2" t="s">
        <v>4</v>
      </c>
      <c r="L108" s="3" t="s">
        <v>50</v>
      </c>
      <c r="M108" s="5" t="s">
        <v>51</v>
      </c>
      <c r="N108" s="2" t="s">
        <v>52</v>
      </c>
    </row>
    <row r="109" ht="48" customHeight="1" spans="1:14">
      <c r="A109" s="2">
        <v>105</v>
      </c>
      <c r="B109" s="3" t="s">
        <v>595</v>
      </c>
      <c r="C109" s="3" t="s">
        <v>596</v>
      </c>
      <c r="D109" s="3" t="s">
        <v>573</v>
      </c>
      <c r="E109" s="3" t="s">
        <v>597</v>
      </c>
      <c r="F109" s="4">
        <v>44778</v>
      </c>
      <c r="G109" s="3" t="s">
        <v>575</v>
      </c>
      <c r="H109" s="3" t="s">
        <v>598</v>
      </c>
      <c r="I109" s="3" t="s">
        <v>599</v>
      </c>
      <c r="J109" s="3" t="s">
        <v>600</v>
      </c>
      <c r="K109" s="2" t="s">
        <v>4</v>
      </c>
      <c r="L109" s="3" t="s">
        <v>50</v>
      </c>
      <c r="M109" s="5" t="s">
        <v>51</v>
      </c>
      <c r="N109" s="2" t="s">
        <v>52</v>
      </c>
    </row>
    <row r="110" ht="48" customHeight="1" spans="1:14">
      <c r="A110" s="2">
        <v>106</v>
      </c>
      <c r="B110" s="3" t="s">
        <v>601</v>
      </c>
      <c r="C110" s="3" t="s">
        <v>602</v>
      </c>
      <c r="D110" s="3" t="s">
        <v>573</v>
      </c>
      <c r="E110" s="3" t="s">
        <v>597</v>
      </c>
      <c r="F110" s="4">
        <v>45147</v>
      </c>
      <c r="G110" s="3" t="s">
        <v>575</v>
      </c>
      <c r="H110" s="3" t="s">
        <v>603</v>
      </c>
      <c r="I110" s="3" t="s">
        <v>604</v>
      </c>
      <c r="J110" s="3" t="s">
        <v>605</v>
      </c>
      <c r="K110" s="2" t="s">
        <v>4</v>
      </c>
      <c r="L110" s="3" t="s">
        <v>50</v>
      </c>
      <c r="M110" s="5" t="s">
        <v>51</v>
      </c>
      <c r="N110" s="2" t="s">
        <v>52</v>
      </c>
    </row>
    <row r="111" ht="48" customHeight="1" spans="1:14">
      <c r="A111" s="2">
        <v>107</v>
      </c>
      <c r="B111" s="3" t="s">
        <v>606</v>
      </c>
      <c r="C111" s="3" t="s">
        <v>607</v>
      </c>
      <c r="D111" s="3" t="s">
        <v>573</v>
      </c>
      <c r="E111" s="3" t="s">
        <v>608</v>
      </c>
      <c r="F111" s="4">
        <v>44741</v>
      </c>
      <c r="G111" s="3" t="s">
        <v>575</v>
      </c>
      <c r="H111" s="3" t="s">
        <v>609</v>
      </c>
      <c r="I111" s="3" t="s">
        <v>610</v>
      </c>
      <c r="J111" s="3" t="s">
        <v>611</v>
      </c>
      <c r="K111" s="2" t="s">
        <v>4</v>
      </c>
      <c r="L111" s="3" t="s">
        <v>50</v>
      </c>
      <c r="M111" s="5" t="s">
        <v>51</v>
      </c>
      <c r="N111" s="2" t="s">
        <v>52</v>
      </c>
    </row>
    <row r="112" ht="48" customHeight="1" spans="1:14">
      <c r="A112" s="2">
        <v>108</v>
      </c>
      <c r="B112" s="3" t="s">
        <v>612</v>
      </c>
      <c r="C112" s="3" t="s">
        <v>613</v>
      </c>
      <c r="D112" s="3" t="s">
        <v>573</v>
      </c>
      <c r="E112" s="3" t="s">
        <v>608</v>
      </c>
      <c r="F112" s="4">
        <v>45104</v>
      </c>
      <c r="G112" s="3" t="s">
        <v>575</v>
      </c>
      <c r="H112" s="3" t="s">
        <v>614</v>
      </c>
      <c r="I112" s="3" t="s">
        <v>615</v>
      </c>
      <c r="J112" s="3" t="s">
        <v>616</v>
      </c>
      <c r="K112" s="2" t="s">
        <v>4</v>
      </c>
      <c r="L112" s="3" t="s">
        <v>50</v>
      </c>
      <c r="M112" s="5" t="s">
        <v>51</v>
      </c>
      <c r="N112" s="2" t="s">
        <v>52</v>
      </c>
    </row>
    <row r="113" ht="48" customHeight="1" spans="1:14">
      <c r="A113" s="2">
        <v>109</v>
      </c>
      <c r="B113" s="3" t="s">
        <v>617</v>
      </c>
      <c r="C113" s="3" t="s">
        <v>618</v>
      </c>
      <c r="D113" s="3" t="s">
        <v>573</v>
      </c>
      <c r="E113" s="3" t="s">
        <v>93</v>
      </c>
      <c r="F113" s="4">
        <v>44757</v>
      </c>
      <c r="G113" s="3" t="s">
        <v>575</v>
      </c>
      <c r="H113" s="3" t="s">
        <v>619</v>
      </c>
      <c r="I113" s="3" t="s">
        <v>620</v>
      </c>
      <c r="J113" s="3" t="s">
        <v>621</v>
      </c>
      <c r="K113" s="2" t="s">
        <v>4</v>
      </c>
      <c r="L113" s="3" t="s">
        <v>50</v>
      </c>
      <c r="M113" s="5" t="s">
        <v>51</v>
      </c>
      <c r="N113" s="2" t="s">
        <v>52</v>
      </c>
    </row>
    <row r="114" ht="48" customHeight="1" spans="1:14">
      <c r="A114" s="2">
        <v>110</v>
      </c>
      <c r="B114" s="3" t="s">
        <v>622</v>
      </c>
      <c r="C114" s="3" t="s">
        <v>623</v>
      </c>
      <c r="D114" s="3" t="s">
        <v>573</v>
      </c>
      <c r="E114" s="3" t="s">
        <v>93</v>
      </c>
      <c r="F114" s="4">
        <v>45120</v>
      </c>
      <c r="G114" s="3" t="s">
        <v>575</v>
      </c>
      <c r="H114" s="3" t="s">
        <v>624</v>
      </c>
      <c r="I114" s="3" t="s">
        <v>625</v>
      </c>
      <c r="J114" s="3" t="s">
        <v>626</v>
      </c>
      <c r="K114" s="2" t="s">
        <v>4</v>
      </c>
      <c r="L114" s="3" t="s">
        <v>50</v>
      </c>
      <c r="M114" s="5" t="s">
        <v>51</v>
      </c>
      <c r="N114" s="2" t="s">
        <v>52</v>
      </c>
    </row>
    <row r="115" ht="48" customHeight="1" spans="1:14">
      <c r="A115" s="2">
        <v>111</v>
      </c>
      <c r="B115" s="3" t="s">
        <v>627</v>
      </c>
      <c r="C115" s="3" t="s">
        <v>628</v>
      </c>
      <c r="D115" s="3" t="s">
        <v>573</v>
      </c>
      <c r="E115" s="3" t="s">
        <v>96</v>
      </c>
      <c r="F115" s="4">
        <v>44757</v>
      </c>
      <c r="G115" s="3" t="s">
        <v>575</v>
      </c>
      <c r="H115" s="3" t="s">
        <v>629</v>
      </c>
      <c r="I115" s="3" t="s">
        <v>630</v>
      </c>
      <c r="J115" s="3" t="s">
        <v>631</v>
      </c>
      <c r="K115" s="2" t="s">
        <v>4</v>
      </c>
      <c r="L115" s="3" t="s">
        <v>50</v>
      </c>
      <c r="M115" s="5" t="s">
        <v>51</v>
      </c>
      <c r="N115" s="2" t="s">
        <v>52</v>
      </c>
    </row>
    <row r="116" ht="48" customHeight="1" spans="1:14">
      <c r="A116" s="2">
        <v>112</v>
      </c>
      <c r="B116" s="3" t="s">
        <v>632</v>
      </c>
      <c r="C116" s="3" t="s">
        <v>633</v>
      </c>
      <c r="D116" s="3" t="s">
        <v>573</v>
      </c>
      <c r="E116" s="3" t="s">
        <v>96</v>
      </c>
      <c r="F116" s="4">
        <v>45126</v>
      </c>
      <c r="G116" s="3" t="s">
        <v>575</v>
      </c>
      <c r="H116" s="3" t="s">
        <v>634</v>
      </c>
      <c r="I116" s="3" t="s">
        <v>635</v>
      </c>
      <c r="J116" s="3" t="s">
        <v>636</v>
      </c>
      <c r="K116" s="2" t="s">
        <v>4</v>
      </c>
      <c r="L116" s="3" t="s">
        <v>50</v>
      </c>
      <c r="M116" s="5" t="s">
        <v>51</v>
      </c>
      <c r="N116" s="2" t="s">
        <v>52</v>
      </c>
    </row>
    <row r="117" ht="48" customHeight="1" spans="1:14">
      <c r="A117" s="2">
        <v>113</v>
      </c>
      <c r="B117" s="3" t="s">
        <v>637</v>
      </c>
      <c r="C117" s="3" t="s">
        <v>638</v>
      </c>
      <c r="D117" s="3" t="s">
        <v>573</v>
      </c>
      <c r="E117" s="3" t="s">
        <v>99</v>
      </c>
      <c r="F117" s="4">
        <v>44742</v>
      </c>
      <c r="G117" s="3" t="s">
        <v>575</v>
      </c>
      <c r="H117" s="3" t="s">
        <v>639</v>
      </c>
      <c r="I117" s="3" t="s">
        <v>640</v>
      </c>
      <c r="J117" s="3" t="s">
        <v>641</v>
      </c>
      <c r="K117" s="2" t="s">
        <v>4</v>
      </c>
      <c r="L117" s="3" t="s">
        <v>50</v>
      </c>
      <c r="M117" s="5" t="s">
        <v>51</v>
      </c>
      <c r="N117" s="2" t="s">
        <v>52</v>
      </c>
    </row>
    <row r="118" ht="48" customHeight="1" spans="1:14">
      <c r="A118" s="2">
        <v>114</v>
      </c>
      <c r="B118" s="3" t="s">
        <v>642</v>
      </c>
      <c r="C118" s="3" t="s">
        <v>643</v>
      </c>
      <c r="D118" s="3" t="s">
        <v>573</v>
      </c>
      <c r="E118" s="3" t="s">
        <v>99</v>
      </c>
      <c r="F118" s="4">
        <v>45107</v>
      </c>
      <c r="G118" s="3" t="s">
        <v>575</v>
      </c>
      <c r="H118" s="3" t="s">
        <v>644</v>
      </c>
      <c r="I118" s="3" t="s">
        <v>645</v>
      </c>
      <c r="J118" s="3" t="s">
        <v>646</v>
      </c>
      <c r="K118" s="2" t="s">
        <v>4</v>
      </c>
      <c r="L118" s="3" t="s">
        <v>50</v>
      </c>
      <c r="M118" s="5" t="s">
        <v>51</v>
      </c>
      <c r="N118" s="2" t="s">
        <v>52</v>
      </c>
    </row>
    <row r="119" ht="48" customHeight="1" spans="1:14">
      <c r="A119" s="2">
        <v>115</v>
      </c>
      <c r="B119" s="3" t="s">
        <v>647</v>
      </c>
      <c r="C119" s="3" t="s">
        <v>648</v>
      </c>
      <c r="D119" s="3" t="s">
        <v>573</v>
      </c>
      <c r="E119" s="3" t="s">
        <v>102</v>
      </c>
      <c r="F119" s="4">
        <v>44763</v>
      </c>
      <c r="G119" s="3" t="s">
        <v>575</v>
      </c>
      <c r="H119" s="3" t="s">
        <v>649</v>
      </c>
      <c r="I119" s="3" t="s">
        <v>650</v>
      </c>
      <c r="J119" s="3" t="s">
        <v>651</v>
      </c>
      <c r="K119" s="2" t="s">
        <v>4</v>
      </c>
      <c r="L119" s="3" t="s">
        <v>50</v>
      </c>
      <c r="M119" s="5" t="s">
        <v>51</v>
      </c>
      <c r="N119" s="2" t="s">
        <v>52</v>
      </c>
    </row>
    <row r="120" ht="48" customHeight="1" spans="1:14">
      <c r="A120" s="2">
        <v>116</v>
      </c>
      <c r="B120" s="3" t="s">
        <v>652</v>
      </c>
      <c r="C120" s="3" t="s">
        <v>653</v>
      </c>
      <c r="D120" s="3" t="s">
        <v>573</v>
      </c>
      <c r="E120" s="3" t="s">
        <v>102</v>
      </c>
      <c r="F120" s="4">
        <v>45128</v>
      </c>
      <c r="G120" s="3" t="s">
        <v>575</v>
      </c>
      <c r="H120" s="3" t="s">
        <v>654</v>
      </c>
      <c r="I120" s="3" t="s">
        <v>655</v>
      </c>
      <c r="J120" s="3" t="s">
        <v>656</v>
      </c>
      <c r="K120" s="2" t="s">
        <v>4</v>
      </c>
      <c r="L120" s="3" t="s">
        <v>50</v>
      </c>
      <c r="M120" s="5" t="s">
        <v>51</v>
      </c>
      <c r="N120" s="2" t="s">
        <v>52</v>
      </c>
    </row>
    <row r="121" ht="48" customHeight="1" spans="1:14">
      <c r="A121" s="2">
        <v>117</v>
      </c>
      <c r="B121" s="3" t="s">
        <v>657</v>
      </c>
      <c r="C121" s="3" t="s">
        <v>658</v>
      </c>
      <c r="D121" s="3" t="s">
        <v>573</v>
      </c>
      <c r="E121" s="3" t="s">
        <v>105</v>
      </c>
      <c r="F121" s="4">
        <v>44732</v>
      </c>
      <c r="G121" s="3" t="s">
        <v>575</v>
      </c>
      <c r="H121" s="3" t="s">
        <v>659</v>
      </c>
      <c r="I121" s="3" t="s">
        <v>660</v>
      </c>
      <c r="J121" s="3" t="s">
        <v>661</v>
      </c>
      <c r="K121" s="2" t="s">
        <v>4</v>
      </c>
      <c r="L121" s="3" t="s">
        <v>50</v>
      </c>
      <c r="M121" s="5" t="s">
        <v>51</v>
      </c>
      <c r="N121" s="2" t="s">
        <v>52</v>
      </c>
    </row>
    <row r="122" ht="48" customHeight="1" spans="1:14">
      <c r="A122" s="2">
        <v>118</v>
      </c>
      <c r="B122" s="3" t="s">
        <v>662</v>
      </c>
      <c r="C122" s="3" t="s">
        <v>663</v>
      </c>
      <c r="D122" s="3" t="s">
        <v>573</v>
      </c>
      <c r="E122" s="3" t="s">
        <v>105</v>
      </c>
      <c r="F122" s="4">
        <v>45091</v>
      </c>
      <c r="G122" s="3" t="s">
        <v>575</v>
      </c>
      <c r="H122" s="3" t="s">
        <v>664</v>
      </c>
      <c r="I122" s="3" t="s">
        <v>665</v>
      </c>
      <c r="J122" s="3" t="s">
        <v>666</v>
      </c>
      <c r="K122" s="2" t="s">
        <v>4</v>
      </c>
      <c r="L122" s="3" t="s">
        <v>50</v>
      </c>
      <c r="M122" s="5" t="s">
        <v>51</v>
      </c>
      <c r="N122" s="2" t="s">
        <v>52</v>
      </c>
    </row>
    <row r="123" ht="48" customHeight="1" spans="1:14">
      <c r="A123" s="2">
        <v>119</v>
      </c>
      <c r="B123" s="3" t="s">
        <v>667</v>
      </c>
      <c r="C123" s="3" t="s">
        <v>668</v>
      </c>
      <c r="D123" s="3" t="s">
        <v>573</v>
      </c>
      <c r="E123" s="3" t="s">
        <v>669</v>
      </c>
      <c r="F123" s="4">
        <v>44754</v>
      </c>
      <c r="G123" s="3" t="s">
        <v>575</v>
      </c>
      <c r="H123" s="3" t="s">
        <v>670</v>
      </c>
      <c r="I123" s="3" t="s">
        <v>671</v>
      </c>
      <c r="J123" s="3" t="s">
        <v>672</v>
      </c>
      <c r="K123" s="2" t="s">
        <v>4</v>
      </c>
      <c r="L123" s="3" t="s">
        <v>50</v>
      </c>
      <c r="M123" s="5" t="s">
        <v>51</v>
      </c>
      <c r="N123" s="2" t="s">
        <v>52</v>
      </c>
    </row>
    <row r="124" ht="48" customHeight="1" spans="1:14">
      <c r="A124" s="2">
        <v>120</v>
      </c>
      <c r="B124" s="3" t="s">
        <v>673</v>
      </c>
      <c r="C124" s="3" t="s">
        <v>674</v>
      </c>
      <c r="D124" s="3" t="s">
        <v>573</v>
      </c>
      <c r="E124" s="3" t="s">
        <v>669</v>
      </c>
      <c r="F124" s="4">
        <v>45124</v>
      </c>
      <c r="G124" s="3" t="s">
        <v>575</v>
      </c>
      <c r="H124" s="3" t="s">
        <v>675</v>
      </c>
      <c r="I124" s="3" t="s">
        <v>676</v>
      </c>
      <c r="J124" s="3" t="s">
        <v>677</v>
      </c>
      <c r="K124" s="2" t="s">
        <v>4</v>
      </c>
      <c r="L124" s="3" t="s">
        <v>50</v>
      </c>
      <c r="M124" s="5" t="s">
        <v>51</v>
      </c>
      <c r="N124" s="2" t="s">
        <v>52</v>
      </c>
    </row>
    <row r="125" ht="48" customHeight="1" spans="1:14">
      <c r="A125" s="2">
        <v>121</v>
      </c>
      <c r="B125" s="3" t="s">
        <v>678</v>
      </c>
      <c r="C125" s="3" t="s">
        <v>679</v>
      </c>
      <c r="D125" s="3" t="s">
        <v>680</v>
      </c>
      <c r="E125" s="3" t="s">
        <v>681</v>
      </c>
      <c r="F125" s="4">
        <v>43844</v>
      </c>
      <c r="G125" s="3" t="s">
        <v>575</v>
      </c>
      <c r="H125" s="3" t="s">
        <v>682</v>
      </c>
      <c r="I125" s="3" t="s">
        <v>683</v>
      </c>
      <c r="J125" s="3" t="s">
        <v>684</v>
      </c>
      <c r="K125" s="2" t="s">
        <v>4</v>
      </c>
      <c r="L125" s="3" t="s">
        <v>50</v>
      </c>
      <c r="M125" s="5" t="s">
        <v>51</v>
      </c>
      <c r="N125" s="2" t="s">
        <v>52</v>
      </c>
    </row>
    <row r="126" ht="48" customHeight="1" spans="1:14">
      <c r="A126" s="2">
        <v>122</v>
      </c>
      <c r="B126" s="3" t="s">
        <v>685</v>
      </c>
      <c r="C126" s="3" t="s">
        <v>686</v>
      </c>
      <c r="D126" s="3" t="s">
        <v>680</v>
      </c>
      <c r="E126" s="3" t="s">
        <v>687</v>
      </c>
      <c r="F126" s="4">
        <v>44532</v>
      </c>
      <c r="G126" s="3" t="s">
        <v>575</v>
      </c>
      <c r="H126" s="3" t="s">
        <v>688</v>
      </c>
      <c r="I126" s="3" t="s">
        <v>689</v>
      </c>
      <c r="J126" s="3" t="s">
        <v>690</v>
      </c>
      <c r="K126" s="2" t="s">
        <v>4</v>
      </c>
      <c r="L126" s="3" t="s">
        <v>50</v>
      </c>
      <c r="M126" s="5" t="s">
        <v>51</v>
      </c>
      <c r="N126" s="2" t="s">
        <v>52</v>
      </c>
    </row>
    <row r="127" ht="48" customHeight="1" spans="1:14">
      <c r="A127" s="2">
        <v>123</v>
      </c>
      <c r="B127" s="3" t="s">
        <v>691</v>
      </c>
      <c r="C127" s="3" t="s">
        <v>692</v>
      </c>
      <c r="D127" s="3" t="s">
        <v>680</v>
      </c>
      <c r="E127" s="3" t="s">
        <v>693</v>
      </c>
      <c r="F127" s="4">
        <v>44091</v>
      </c>
      <c r="G127" s="3" t="s">
        <v>575</v>
      </c>
      <c r="H127" s="3" t="s">
        <v>694</v>
      </c>
      <c r="I127" s="3" t="s">
        <v>695</v>
      </c>
      <c r="J127" s="3" t="s">
        <v>696</v>
      </c>
      <c r="K127" s="2" t="s">
        <v>4</v>
      </c>
      <c r="L127" s="3" t="s">
        <v>50</v>
      </c>
      <c r="M127" s="5" t="s">
        <v>51</v>
      </c>
      <c r="N127" s="2" t="s">
        <v>52</v>
      </c>
    </row>
    <row r="128" ht="48" customHeight="1" spans="1:14">
      <c r="A128" s="2">
        <v>124</v>
      </c>
      <c r="B128" s="3" t="s">
        <v>697</v>
      </c>
      <c r="C128" s="3" t="s">
        <v>698</v>
      </c>
      <c r="D128" s="3" t="s">
        <v>680</v>
      </c>
      <c r="E128" s="3" t="s">
        <v>699</v>
      </c>
      <c r="F128" s="4">
        <v>44973</v>
      </c>
      <c r="G128" s="3" t="s">
        <v>575</v>
      </c>
      <c r="H128" s="3" t="s">
        <v>700</v>
      </c>
      <c r="I128" s="3" t="s">
        <v>701</v>
      </c>
      <c r="J128" s="3" t="s">
        <v>702</v>
      </c>
      <c r="K128" s="2" t="s">
        <v>4</v>
      </c>
      <c r="L128" s="3" t="s">
        <v>50</v>
      </c>
      <c r="M128" s="5" t="s">
        <v>51</v>
      </c>
      <c r="N128" s="2" t="s">
        <v>52</v>
      </c>
    </row>
    <row r="129" ht="48" customHeight="1" spans="1:14">
      <c r="A129" s="2">
        <v>125</v>
      </c>
      <c r="B129" s="3" t="s">
        <v>703</v>
      </c>
      <c r="C129" s="3" t="s">
        <v>704</v>
      </c>
      <c r="D129" s="3" t="s">
        <v>680</v>
      </c>
      <c r="E129" s="3" t="s">
        <v>705</v>
      </c>
      <c r="F129" s="4">
        <v>43913</v>
      </c>
      <c r="G129" s="3" t="s">
        <v>575</v>
      </c>
      <c r="H129" s="3" t="s">
        <v>706</v>
      </c>
      <c r="I129" s="3" t="s">
        <v>707</v>
      </c>
      <c r="J129" s="3" t="s">
        <v>708</v>
      </c>
      <c r="K129" s="2" t="s">
        <v>4</v>
      </c>
      <c r="L129" s="3" t="s">
        <v>50</v>
      </c>
      <c r="M129" s="5" t="s">
        <v>51</v>
      </c>
      <c r="N129" s="2" t="s">
        <v>52</v>
      </c>
    </row>
  </sheetData>
  <conditionalFormatting sqref="K5:K129">
    <cfRule type="containsText" dxfId="0" priority="1" operator="between" text="APPROVE">
      <formula>NOT(ISERROR(SEARCH("APPROVE",K5)))</formula>
    </cfRule>
    <cfRule type="containsText" dxfId="1" priority="2" operator="between" text="REJECT">
      <formula>NOT(ISERROR(SEARCH("REJECT",K5)))</formula>
    </cfRule>
  </conditionalFormatting>
  <dataValidations count="1">
    <dataValidation type="list" sqref="K5:K129">
      <formula1>"APPROVE,REJECT"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逐案审阅表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GeeCee</cp:lastModifiedBy>
  <dcterms:created xsi:type="dcterms:W3CDTF">2026-09-07T05:37:00Z</dcterms:created>
  <dcterms:modified xsi:type="dcterms:W3CDTF">2026-09-07T05:40:02Z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0D4571CB0FFA49CFAE00B729E7206BCC_12</vt:lpwstr>
  </property>
  <property fmtid="{D5CDD505-2E9C-101B-9397-08002B2CF9AE}" pid="3" name="KSOProductBuildVer">
    <vt:lpwstr>2052-12.1.0.22529</vt:lpwstr>
  </property>
</Properties>
</file>