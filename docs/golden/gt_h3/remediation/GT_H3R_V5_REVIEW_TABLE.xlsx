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7d96e41d8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b781eb980c84f5f"/>
    <x:sheet xmlns:r="http://schemas.openxmlformats.org/officeDocument/2006/relationships" name="逐案复审表" sheetId="2" r:id="Rebb6f860ad71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5"/>
      <x:color rgb="FF1F2937"/>
      <x:name val="Arial"/>
    </x:font>
    <x:font>
      <x:i/>
      <x:sz val="10"/>
      <x:color rgb="FF5B65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200" fontId="3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a55afcd8b4345" /><Relationship Type="http://schemas.openxmlformats.org/officeDocument/2006/relationships/theme" Target="/xl/theme/theme1.xml" Id="R7798961cbb6b4962" /><Relationship Type="http://schemas.openxmlformats.org/officeDocument/2006/relationships/sharedStrings" Target="/xl/sharedStrings.xml" Id="R68e1b0da43314022" /><Relationship Type="http://schemas.openxmlformats.org/officeDocument/2006/relationships/worksheet" Target="/xl/worksheets/sheet1.xml" Id="Rfb781eb980c84f5f" /><Relationship Type="http://schemas.openxmlformats.org/officeDocument/2006/relationships/worksheet" Target="/xl/worksheets/sheet2.xml" Id="Rebb6f860ad714504" /></Relationships>
</file>

<file path=xl/tables/table1.xml><?xml version="1.0" encoding="utf-8"?>
<x:table xmlns:x="http://schemas.openxmlformats.org/spreadsheetml/2006/main" id="1" name="GT_H3R_V5_ReviewTable" displayName="GT_H3R_V5_ReviewTable" ref="A4:O16" headerRowCount="1" totalsRowCount="0" totalsRowShown="0">
  <x:tableColumns count="15">
    <x:tableColumn id="1" name="序号"/>
    <x:tableColumn id="2" name="原案例 ID"/>
    <x:tableColumn id="3" name="v5 案例 ID"/>
    <x:tableColumn id="4" name="分组"/>
    <x:tableColumn id="5" name="变更类型"/>
    <x:tableColumn id="6" name="事件类型"/>
    <x:tableColumn id="7" name="证券代码"/>
    <x:tableColumn id="8" name="交易日"/>
    <x:tableColumn id="9" name="制度规则材料/主官方材料（名称+链接）"/>
    <x:tableColumn id="10" name="案例适用性材料（复合事实必填，名称+链接）"/>
    <x:tableColumn id="11" name="必须核对（按 v5）"/>
    <x:tableColumn id="12" name="结果（仅填 APPROVE/REJECT）"/>
    <x:tableColumn id="13" name="简短反馈（REJECT 写原因）"/>
    <x:tableColumn id="14" name="审阅人"/>
    <x:tableColumn id="15" name="审阅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c2114904614f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30" t="str">
        <x:v>GT-H3R v5 12 条人工复审表</x:v>
      </x:c>
      <x:c r="B1" s="11"/>
    </x:row>
    <x:row r="2" ht="28" customHeight="1">
      <x:c r="A2" s="31" t="str">
        <x:v>候选版本：v5-candidate-20260907｜仅复审 12 条整改案例｜结果不会自动写入 REVIEWED</x:v>
      </x:c>
      <x:c r="B2" s="11"/>
    </x:row>
    <x:row r="3" ht="24" customHeight="1">
      <x:c r="A3" s="11"/>
      <x:c r="B3" s="11"/>
    </x:row>
    <x:row r="4" ht="24" customHeight="1">
      <x:c r="A4" s="14" t="str">
        <x:v>本次复审案例数</x:v>
      </x:c>
      <x:c r="B4" s="14" t="n">
        <x:v>12</x:v>
      </x:c>
    </x:row>
    <x:row r="5" ht="24" customHeight="1">
      <x:c r="A5" s="14" t="str">
        <x:v>已填写</x:v>
      </x:c>
      <x:c r="B5" s="14" t="n">
        <x:f>B6+B7</x:f>
        <x:v>0</x:v>
      </x:c>
    </x:row>
    <x:row r="6" ht="24" customHeight="1">
      <x:c r="A6" s="14" t="str">
        <x:v>APPROVE</x:v>
      </x:c>
      <x:c r="B6" s="14" t="n">
        <x:f>IF('逐案复审表'!L5="APPROVE",1,0)+IF('逐案复审表'!L6="APPROVE",1,0)+IF('逐案复审表'!L7="APPROVE",1,0)+IF('逐案复审表'!L8="APPROVE",1,0)+IF('逐案复审表'!L9="APPROVE",1,0)+IF('逐案复审表'!L10="APPROVE",1,0)+IF('逐案复审表'!L11="APPROVE",1,0)+IF('逐案复审表'!L12="APPROVE",1,0)+IF('逐案复审表'!L13="APPROVE",1,0)+IF('逐案复审表'!L14="APPROVE",1,0)+IF('逐案复审表'!L15="APPROVE",1,0)+IF('逐案复审表'!L16="APPROVE",1,0)</x:f>
        <x:v>0</x:v>
      </x:c>
    </x:row>
    <x:row r="7" ht="24" customHeight="1">
      <x:c r="A7" s="14" t="str">
        <x:v>REJECT</x:v>
      </x:c>
      <x:c r="B7" s="14" t="n">
        <x:f>IF('逐案复审表'!L5="REJECT",1,0)+IF('逐案复审表'!L6="REJECT",1,0)+IF('逐案复审表'!L7="REJECT",1,0)+IF('逐案复审表'!L8="REJECT",1,0)+IF('逐案复审表'!L9="REJECT",1,0)+IF('逐案复审表'!L10="REJECT",1,0)+IF('逐案复审表'!L11="REJECT",1,0)+IF('逐案复审表'!L12="REJECT",1,0)+IF('逐案复审表'!L13="REJECT",1,0)+IF('逐案复审表'!L14="REJECT",1,0)+IF('逐案复审表'!L15="REJECT",1,0)+IF('逐案复审表'!L16="REJECT",1,0)</x:f>
        <x:v>0</x:v>
      </x:c>
    </x:row>
    <x:row r="8" ht="24" customHeight="1">
      <x:c r="A8" s="14" t="str">
        <x:v>未填写</x:v>
      </x:c>
      <x:c r="B8" s="14" t="n">
        <x:f>B4-B5</x:f>
        <x:v>12</x:v>
      </x:c>
    </x:row>
    <x:row r="9" ht="24" customHeight="1">
      <x:c r="A9" s="14" t="str">
        <x:v>表格状态</x:v>
      </x:c>
      <x:c r="B9" s="14" t="str">
        <x:f>IF(B8=0,"12 行均已填写，仍需提交人工声明","还有行未填写")</x:f>
        <x:v>还有行未填写</x:v>
      </x:c>
    </x:row>
    <x:row r="10" ht="24" customHeight="1">
      <x:c r="A10" s="11"/>
      <x:c r="B10" s="11"/>
    </x:row>
    <x:row r="11" ht="24" customHeight="1">
      <x:c r="A11" s="11" t="str">
        <x:v>填写要求</x:v>
      </x:c>
      <x:c r="B11" s="11"/>
    </x:row>
    <x:row r="12" ht="30" customHeight="1">
      <x:c r="A12" s="11" t="str">
        <x:v>1. 打开“制度规则材料/主官方材料”和“案例适用性材料”列中的全部官方原文。</x:v>
      </x:c>
      <x:c r="B12" s="11"/>
    </x:row>
    <x:row r="13" ht="30" customHeight="1">
      <x:c r="A13" s="11" t="str">
        <x:v>2. AG-025、AG-027、AG-029 的 5 条复合事实必须同时核对规则和案例适用性两份材料。</x:v>
      </x:c>
      <x:c r="B13" s="11"/>
    </x:row>
    <x:row r="14" ht="30" customHeight="1">
      <x:c r="A14" s="11" t="str">
        <x:v>3. 对照“必须核对”列检查代码、日期、事件、板块/规则和期望值。</x:v>
      </x:c>
      <x:c r="B14" s="11"/>
    </x:row>
    <x:row r="15" ht="30" customHeight="1">
      <x:c r="A15" s="11" t="str">
        <x:v>4. 全部一致填 APPROVE；任何不一致、缺材料或原文不证明事实时填 REJECT 并写一句原因。</x:v>
      </x:c>
      <x:c r="B15" s="11"/>
    </x:row>
    <x:row r="16" ht="30" customHeight="1">
      <x:c r="A16" s="11" t="str">
        <x:v>5. 12 行完成后填写审阅人和日期，并在 PR 评论明确 12/12 结论、113 条沿用及“50”的处理。</x:v>
      </x:c>
      <x:c r="B16" s="11"/>
    </x:row>
    <x:row r="17" ht="24" customHeight="1">
      <x:c r="A17" s="11"/>
      <x:c r="B17" s="11"/>
    </x:row>
    <x:row r="18" ht="24" customHeight="1">
      <x:c r="A18" s="32" t="str">
        <x:v>反馈示例</x:v>
      </x:c>
      <x:c r="B18" s="32" t="str">
        <x:v>填写内容</x:v>
      </x:c>
    </x:row>
    <x:row r="19" ht="24" customHeight="1">
      <x:c r="A19" s="14" t="str">
        <x:v>通过</x:v>
      </x:c>
      <x:c r="B19" s="14" t="str">
        <x:v>APPROVE；修正后的官方原文明确支持代码、日期、事件和期望值。</x:v>
      </x:c>
    </x:row>
    <x:row r="20" ht="24" customHeight="1">
      <x:c r="A20" s="14" t="str">
        <x:v>不通过</x:v>
      </x:c>
      <x:c r="B20" s="14" t="str">
        <x:v>REJECT；原因：日期/规则/代码与官方原文不一致。</x:v>
      </x:c>
    </x:row>
    <x:row r="21" ht="24" customHeight="1">
      <x:c r="A21" s="14" t="str">
        <x:v>来源不可用</x:v>
      </x:c>
      <x:c r="B21" s="14" t="str">
        <x:v>REJECT；原因：官方原文打不开或不证明该事实。</x:v>
      </x:c>
    </x:row>
    <x:row r="22" ht="24" customHeight="1">
      <x:c r="A22" s="11"/>
      <x:c r="B22" s="11"/>
    </x:row>
    <x:row r="23" ht="24" customHeight="1">
      <x:c r="A23" s="32" t="str">
        <x:v>变更类型</x:v>
      </x:c>
      <x:c r="B23" s="32" t="str">
        <x:v>数量</x:v>
      </x:c>
    </x:row>
    <x:row r="24" ht="24" customHeight="1">
      <x:c r="A24" s="14" t="str">
        <x:v>仅换官方证据</x:v>
      </x:c>
      <x:c r="B24" s="14" t="n">
        <x:v>10</x:v>
      </x:c>
    </x:row>
    <x:row r="25" ht="24" customHeight="1">
      <x:c r="A25" s="14" t="str">
        <x:v>候选事实修正</x:v>
      </x:c>
      <x:c r="B25" s="14" t="n">
        <x:v>2</x:v>
      </x:c>
    </x:row>
    <x:row r="26" ht="24" customHeight="1">
      <x:c r="A26" s="14" t="str">
        <x:v>总数</x:v>
      </x:c>
      <x:c r="B26" s="14" t="n">
        <x:v>12</x:v>
      </x:c>
    </x:row>
  </x:sheetData>
  <x:mergeCells>
    <x:mergeCell ref="A2:B2"/>
    <x:mergeCell ref="A12:B12"/>
    <x:mergeCell ref="A13:B13"/>
    <x:mergeCell ref="A14:B14"/>
    <x:mergeCell ref="A15:B15"/>
    <x:mergeCell ref="A16:B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6" hidden="0" customWidth="1"/>
    <x:col min="2" max="2" width="31" hidden="0" customWidth="1"/>
    <x:col min="3" max="3" width="33" hidden="0" customWidth="1"/>
    <x:col min="4" max="4" width="10" hidden="0" customWidth="1"/>
    <x:col min="5" max="5" width="12" hidden="0" customWidth="1"/>
    <x:col min="6" max="6" width="16" hidden="0" customWidth="1"/>
    <x:col min="7" max="7" width="13" hidden="0" customWidth="1"/>
    <x:col min="8" max="8" width="12" hidden="0" customWidth="1"/>
    <x:col min="9" max="9" width="62" hidden="0" customWidth="1"/>
    <x:col min="10" max="10" width="68" hidden="0" customWidth="1"/>
    <x:col min="11" max="11" width="60" hidden="0" customWidth="1"/>
    <x:col min="12" max="12" width="22" hidden="0" customWidth="1"/>
    <x:col min="13" max="13" width="36" hidden="0" customWidth="1"/>
    <x:col min="14" max="14" width="16" hidden="0" customWidth="1"/>
    <x:col min="15" max="15" width="14" hidden="0" customWidth="1"/>
  </x:cols>
  <x:sheetData>
    <x:row r="1">
      <x:c r="A1" t="str">
        <x:v>GT-H3R v5 逐案人工复审表</x:v>
      </x:c>
    </x:row>
    <x:row r="2">
      <x:c r="A2" t="str">
        <x:v>只复审 12 条整改案例；结果、反馈、审阅人和日期需由真实 Owner/Human Reviewer 填写。</x:v>
      </x:c>
    </x:row>
    <x:row r="4" ht="34" customHeight="1">
      <x:c r="A4" s="13" t="str">
        <x:v>序号</x:v>
      </x:c>
      <x:c r="B4" s="13" t="str">
        <x:v>原案例 ID</x:v>
      </x:c>
      <x:c r="C4" s="13" t="str">
        <x:v>v5 案例 ID</x:v>
      </x:c>
      <x:c r="D4" s="13" t="str">
        <x:v>分组</x:v>
      </x:c>
      <x:c r="E4" s="13" t="str">
        <x:v>变更类型</x:v>
      </x:c>
      <x:c r="F4" s="13" t="str">
        <x:v>事件类型</x:v>
      </x:c>
      <x:c r="G4" s="13" t="str">
        <x:v>证券代码</x:v>
      </x:c>
      <x:c r="H4" s="13" t="str">
        <x:v>交易日</x:v>
      </x:c>
      <x:c r="I4" s="13" t="str">
        <x:v>制度规则材料/主官方材料（名称+链接）</x:v>
      </x:c>
      <x:c r="J4" s="13" t="str">
        <x:v>案例适用性材料（复合事实必填，名称+链接）</x:v>
      </x:c>
      <x:c r="K4" s="13" t="str">
        <x:v>必须核对（按 v5）</x:v>
      </x:c>
      <x:c r="L4" s="13" t="str">
        <x:v>结果（仅填 APPROVE/REJECT）</x:v>
      </x:c>
      <x:c r="M4" s="13" t="str">
        <x:v>简短反馈（REJECT 写原因）</x:v>
      </x:c>
      <x:c r="N4" s="13" t="str">
        <x:v>审阅人</x:v>
      </x:c>
      <x:c r="O4" s="13" t="str">
        <x:v>审阅日期</x:v>
      </x:c>
    </x:row>
    <x:row r="5" ht="74" customHeight="1">
      <x:c r="A5" s="16" t="n">
        <x:v>1</x:v>
      </x:c>
      <x:c r="B5" s="14" t="str">
        <x:v>GT-LIMIT-ST5-600518-20190603</x:v>
      </x:c>
      <x:c r="C5" s="14" t="str">
        <x:v>GT-LIMIT-ST5-600518-20190603</x:v>
      </x:c>
      <x:c r="D5" s="14" t="str">
        <x:v>AG-025</x:v>
      </x:c>
      <x:c r="E5" s="14" t="str">
        <x:v>仅换证据</x:v>
      </x:c>
      <x:c r="F5" s="14" t="str">
        <x:v>LIMIT_REGIME</x:v>
      </x:c>
      <x:c r="G5" s="14" t="str">
        <x:v>600518.SH</x:v>
      </x:c>
      <x:c r="H5" s="17" t="n">
        <x:v>43619</x:v>
      </x:c>
      <x:c r="I5" s="14" t="str">
        <x:v>SSE Risk-Warning Board Trading Measures (5% price-limit clause)
https://www.sse.com.cn/lawandrules/sselawsrules2025/repeal/rules/c/c_20121216_10785153.shtml</x:v>
      </x:c>
      <x:c r="J5" s="14" t="str">
        <x:v>SSE market disclosure naming 600518 as ST康美 (2019-05-31)
https://www.sse.com.cn/market/sseindex/diclosure/c/c_20190531_4830732.shtml</x:v>
      </x:c>
      <x:c r="K5" s="14" t="str">
        <x:v>核对 600518.SH 在 2019-06-03 是否适用该交易所/板块规则；原文应支持：涨幅上限 5%；跌幅上限 5%。</x:v>
      </x:c>
      <x:c r="L5" s="16" t="str"/>
      <x:c r="M5" s="14" t="str"/>
      <x:c r="N5" s="14" t="str"/>
      <x:c r="O5" s="16" t="str"/>
    </x:row>
    <x:row r="6" ht="74" customHeight="1">
      <x:c r="A6" s="16" t="n">
        <x:v>2</x:v>
      </x:c>
      <x:c r="B6" s="14" t="str">
        <x:v>GT-LIMIT-ST5-600518-20191028</x:v>
      </x:c>
      <x:c r="C6" s="14" t="str">
        <x:v>GT-LIMIT-ST5-600518-20191028</x:v>
      </x:c>
      <x:c r="D6" s="14" t="str">
        <x:v>AG-025</x:v>
      </x:c>
      <x:c r="E6" s="14" t="str">
        <x:v>仅换证据</x:v>
      </x:c>
      <x:c r="F6" s="14" t="str">
        <x:v>LIMIT_REGIME</x:v>
      </x:c>
      <x:c r="G6" s="14" t="str">
        <x:v>600518.SH</x:v>
      </x:c>
      <x:c r="H6" s="17" t="n">
        <x:v>43766</x:v>
      </x:c>
      <x:c r="I6" s="14" t="str">
        <x:v>SSE Risk-Warning Board Trading Measures (5% price-limit clause)
https://www.sse.com.cn/lawandrules/sselawsrules2025/repeal/rules/c/c_20121216_10785153.shtml</x:v>
      </x:c>
      <x:c r="J6" s="14" t="str">
        <x:v>SSE 600518 retrospective disclosure (ST status from 2019-05-21)
https://www.sse.com.cn/disclosure/listedinfo/announcement/c/new/2021-11-27/600518_20211127_2_wfwElR2q.pdf</x:v>
      </x:c>
      <x:c r="K6" s="14" t="str">
        <x:v>核对 600518.SH 在 2019-10-28 是否适用该交易所/板块规则；原文应支持：涨幅上限 5%；跌幅上限 5%。</x:v>
      </x:c>
      <x:c r="L6" s="16" t="str"/>
      <x:c r="M6" s="14" t="str"/>
      <x:c r="N6" s="14" t="str"/>
      <x:c r="O6" s="16" t="str"/>
    </x:row>
    <x:row r="7" ht="74" customHeight="1">
      <x:c r="A7" s="16" t="n">
        <x:v>3</x:v>
      </x:c>
      <x:c r="B7" s="14" t="str">
        <x:v>GT-LIMIT-CN20-300750</x:v>
      </x:c>
      <x:c r="C7" s="14" t="str">
        <x:v>GT-LIMIT-CN20-300750</x:v>
      </x:c>
      <x:c r="D7" s="14" t="str">
        <x:v>AG-054</x:v>
      </x:c>
      <x:c r="E7" s="14" t="str">
        <x:v>仅换证据</x:v>
      </x:c>
      <x:c r="F7" s="14" t="str">
        <x:v>LIMIT_REGIME</x:v>
      </x:c>
      <x:c r="G7" s="14" t="str">
        <x:v>300750.SZ</x:v>
      </x:c>
      <x:c r="H7" s="17" t="n">
        <x:v>44348</x:v>
      </x:c>
      <x:c r="I7" s="14" t="str">
        <x:v>SZSE ChiNext Trading Special Provisions (20% clause)
https://www.szse.cn/lawrules/rule/repeal/rules/P020231230545310237980.pdf</x:v>
      </x:c>
      <x:c r="J7" s="14" t="str">
        <x:v>—（本行非复合事实）</x:v>
      </x:c>
      <x:c r="K7" s="14" t="str">
        <x:v>核对 300750.SZ 在 2021-06-01 是否适用该交易所/板块规则；原文应支持：涨幅上限 20%；跌幅上限 20%。</x:v>
      </x:c>
      <x:c r="L7" s="16" t="str"/>
      <x:c r="M7" s="14" t="str"/>
      <x:c r="N7" s="14" t="str"/>
      <x:c r="O7" s="16" t="str"/>
    </x:row>
    <x:row r="8" ht="74" customHeight="1">
      <x:c r="A8" s="16" t="n">
        <x:v>4</x:v>
      </x:c>
      <x:c r="B8" s="14" t="str">
        <x:v>GT-LIMIT-CN20-300059</x:v>
      </x:c>
      <x:c r="C8" s="14" t="str">
        <x:v>GT-LIMIT-CN20-300059</x:v>
      </x:c>
      <x:c r="D8" s="14" t="str">
        <x:v>AG-054</x:v>
      </x:c>
      <x:c r="E8" s="14" t="str">
        <x:v>仅换证据</x:v>
      </x:c>
      <x:c r="F8" s="14" t="str">
        <x:v>LIMIT_REGIME</x:v>
      </x:c>
      <x:c r="G8" s="14" t="str">
        <x:v>300059.SZ</x:v>
      </x:c>
      <x:c r="H8" s="17" t="n">
        <x:v>44348</x:v>
      </x:c>
      <x:c r="I8" s="14" t="str">
        <x:v>SZSE ChiNext Trading Special Provisions (20% clause)
https://www.szse.cn/lawrules/rule/repeal/rules/P020231230545310237980.pdf</x:v>
      </x:c>
      <x:c r="J8" s="14" t="str">
        <x:v>—（本行非复合事实）</x:v>
      </x:c>
      <x:c r="K8" s="14" t="str">
        <x:v>核对 300059.SZ 在 2021-06-01 是否适用该交易所/板块规则；原文应支持：涨幅上限 20%；跌幅上限 20%。</x:v>
      </x:c>
      <x:c r="L8" s="16" t="str"/>
      <x:c r="M8" s="14" t="str"/>
      <x:c r="N8" s="14" t="str"/>
      <x:c r="O8" s="16" t="str"/>
    </x:row>
    <x:row r="9" ht="74" customHeight="1">
      <x:c r="A9" s="16" t="n">
        <x:v>5</x:v>
      </x:c>
      <x:c r="B9" s="14" t="str">
        <x:v>GT-LIMIT-CN20-300015</x:v>
      </x:c>
      <x:c r="C9" s="14" t="str">
        <x:v>GT-LIMIT-CN20-300015</x:v>
      </x:c>
      <x:c r="D9" s="14" t="str">
        <x:v>AG-054</x:v>
      </x:c>
      <x:c r="E9" s="14" t="str">
        <x:v>仅换证据</x:v>
      </x:c>
      <x:c r="F9" s="14" t="str">
        <x:v>LIMIT_REGIME</x:v>
      </x:c>
      <x:c r="G9" s="14" t="str">
        <x:v>300015.SZ</x:v>
      </x:c>
      <x:c r="H9" s="17" t="n">
        <x:v>44348</x:v>
      </x:c>
      <x:c r="I9" s="14" t="str">
        <x:v>SZSE ChiNext Trading Special Provisions (20% clause)
https://www.szse.cn/lawrules/rule/repeal/rules/P020231230545310237980.pdf</x:v>
      </x:c>
      <x:c r="J9" s="14" t="str">
        <x:v>—（本行非复合事实）</x:v>
      </x:c>
      <x:c r="K9" s="14" t="str">
        <x:v>核对 300015.SZ 在 2021-06-01 是否适用该交易所/板块规则；原文应支持：涨幅上限 20%；跌幅上限 20%。</x:v>
      </x:c>
      <x:c r="L9" s="16" t="str"/>
      <x:c r="M9" s="14" t="str"/>
      <x:c r="N9" s="14" t="str"/>
      <x:c r="O9" s="16" t="str"/>
    </x:row>
    <x:row r="10" ht="74" customHeight="1">
      <x:c r="A10" s="16" t="n">
        <x:v>6</x:v>
      </x:c>
      <x:c r="B10" s="14" t="str">
        <x:v>GT-LIMIT-CN20-300124</x:v>
      </x:c>
      <x:c r="C10" s="14" t="str">
        <x:v>GT-LIMIT-CN20-300124</x:v>
      </x:c>
      <x:c r="D10" s="14" t="str">
        <x:v>AG-054</x:v>
      </x:c>
      <x:c r="E10" s="14" t="str">
        <x:v>仅换证据</x:v>
      </x:c>
      <x:c r="F10" s="14" t="str">
        <x:v>LIMIT_REGIME</x:v>
      </x:c>
      <x:c r="G10" s="14" t="str">
        <x:v>300124.SZ</x:v>
      </x:c>
      <x:c r="H10" s="17" t="n">
        <x:v>44348</x:v>
      </x:c>
      <x:c r="I10" s="14" t="str">
        <x:v>SZSE ChiNext Trading Special Provisions (20% clause)
https://www.szse.cn/lawrules/rule/repeal/rules/P020231230545310237980.pdf</x:v>
      </x:c>
      <x:c r="J10" s="14" t="str">
        <x:v>—（本行非复合事实）</x:v>
      </x:c>
      <x:c r="K10" s="14" t="str">
        <x:v>核对 300124.SZ 在 2021-06-01 是否适用该交易所/板块规则；原文应支持：涨幅上限 20%；跌幅上限 20%。</x:v>
      </x:c>
      <x:c r="L10" s="16" t="str"/>
      <x:c r="M10" s="14" t="str"/>
      <x:c r="N10" s="14" t="str"/>
      <x:c r="O10" s="16" t="str"/>
    </x:row>
    <x:row r="11" ht="74" customHeight="1">
      <x:c r="A11" s="16" t="n">
        <x:v>7</x:v>
      </x:c>
      <x:c r="B11" s="14" t="str">
        <x:v>GT-LIMIT-CN20-300274</x:v>
      </x:c>
      <x:c r="C11" s="14" t="str">
        <x:v>GT-LIMIT-CN20-300274</x:v>
      </x:c>
      <x:c r="D11" s="14" t="str">
        <x:v>AG-054</x:v>
      </x:c>
      <x:c r="E11" s="14" t="str">
        <x:v>仅换证据</x:v>
      </x:c>
      <x:c r="F11" s="14" t="str">
        <x:v>LIMIT_REGIME</x:v>
      </x:c>
      <x:c r="G11" s="14" t="str">
        <x:v>300274.SZ</x:v>
      </x:c>
      <x:c r="H11" s="17" t="n">
        <x:v>44348</x:v>
      </x:c>
      <x:c r="I11" s="14" t="str">
        <x:v>SZSE ChiNext Trading Special Provisions (20% clause)
https://www.szse.cn/lawrules/rule/repeal/rules/P020231230545310237980.pdf</x:v>
      </x:c>
      <x:c r="J11" s="14" t="str">
        <x:v>—（本行非复合事实）</x:v>
      </x:c>
      <x:c r="K11" s="14" t="str">
        <x:v>核对 300274.SZ 在 2021-06-01 是否适用该交易所/板块规则；原文应支持：涨幅上限 20%；跌幅上限 20%。</x:v>
      </x:c>
      <x:c r="L11" s="16" t="str"/>
      <x:c r="M11" s="14" t="str"/>
      <x:c r="N11" s="14" t="str"/>
      <x:c r="O11" s="16" t="str"/>
    </x:row>
    <x:row r="12" ht="74" customHeight="1">
      <x:c r="A12" s="16" t="n">
        <x:v>8</x:v>
      </x:c>
      <x:c r="B12" s="14" t="str">
        <x:v>GT-LIMIT-STARNO-20200723</x:v>
      </x:c>
      <x:c r="C12" s="14" t="str">
        <x:v>GT-LIMIT-STAR20-688981-20200723</x:v>
      </x:c>
      <x:c r="D12" s="14" t="str">
        <x:v>AG-027</x:v>
      </x:c>
      <x:c r="E12" s="14" t="str">
        <x:v>事实修正</x:v>
      </x:c>
      <x:c r="F12" s="14" t="str">
        <x:v>LIMIT_REGIME</x:v>
      </x:c>
      <x:c r="G12" s="14" t="str">
        <x:v>688981.SH</x:v>
      </x:c>
      <x:c r="H12" s="17" t="n">
        <x:v>44035</x:v>
      </x:c>
      <x:c r="I12" s="14" t="str">
        <x:v>SSE STAR Market Trading Special Provisions (20% after first five days)
https://www.sse.com.cn/lawandrules/sselawsrules2025/repeal/rules/c/10785118/files/8c544552dc7e4c83a863440179f0b9de.pdf</x:v>
      </x:c>
      <x:c r="J12" s="14" t="str">
        <x:v>SSE STAR listing notice for 688981 (listed 2020-07-16)
https://star.sse.com.cn/disclosure/listedinfo/bulletin/star/c/688981_20200715_1.pdf</x:v>
      </x:c>
      <x:c r="K12" s="14" t="str">
        <x:v>核对 688981.SH 在 2020-07-23 是否适用该交易所/板块规则；原文应支持：涨幅上限 20%。</x:v>
      </x:c>
      <x:c r="L12" s="16" t="str"/>
      <x:c r="M12" s="14" t="str"/>
      <x:c r="N12" s="14" t="str"/>
      <x:c r="O12" s="16" t="str"/>
    </x:row>
    <x:row r="13" ht="74" customHeight="1">
      <x:c r="A13" s="16" t="n">
        <x:v>9</x:v>
      </x:c>
      <x:c r="B13" s="14" t="str">
        <x:v>GT-LIMIT-IPO44-601995</x:v>
      </x:c>
      <x:c r="C13" s="14" t="str">
        <x:v>GT-LIMIT-IPO44-601995</x:v>
      </x:c>
      <x:c r="D13" s="14" t="str">
        <x:v>AG-029</x:v>
      </x:c>
      <x:c r="E13" s="14" t="str">
        <x:v>仅换证据</x:v>
      </x:c>
      <x:c r="F13" s="14" t="str">
        <x:v>NO_LIMIT_IPO</x:v>
      </x:c>
      <x:c r="G13" s="14" t="str">
        <x:v>601995.SH</x:v>
      </x:c>
      <x:c r="H13" s="17" t="n">
        <x:v>44137</x:v>
      </x:c>
      <x:c r="I13" s="14" t="str">
        <x:v>SSE 2014 new-listing trading supervision notice (44%/36% bounds)
https://www.sse.com.cn/aboutus/mediacenter/hotandd/c/c_20150912_3988761.shtml</x:v>
      </x:c>
      <x:c r="J13" s="14" t="str">
        <x:v>SSE official retrospective disclosure for 601995 listing
https://static.sse.com.cn/disclosure/bond/announcement/company/c/new/2023-04-04/175906_20230404_LS9E.pdf</x:v>
      </x:c>
      <x:c r="K13" s="14" t="str">
        <x:v>核对官方原文是否同时证明代码 601995.SH、交易日 2020-11-02 和期望值：涨幅上限 44%；跌幅上限 36%。</x:v>
      </x:c>
      <x:c r="L13" s="16" t="str"/>
      <x:c r="M13" s="14" t="str"/>
      <x:c r="N13" s="14" t="str"/>
      <x:c r="O13" s="16" t="str"/>
    </x:row>
    <x:row r="14" ht="74" customHeight="1">
      <x:c r="A14" s="16" t="n">
        <x:v>10</x:v>
      </x:c>
      <x:c r="B14" s="14" t="str">
        <x:v>GT-LIMIT-IPO44-605499</x:v>
      </x:c>
      <x:c r="C14" s="14" t="str">
        <x:v>GT-LIMIT-IPO44-605499</x:v>
      </x:c>
      <x:c r="D14" s="14" t="str">
        <x:v>AG-029</x:v>
      </x:c>
      <x:c r="E14" s="14" t="str">
        <x:v>仅换证据</x:v>
      </x:c>
      <x:c r="F14" s="14" t="str">
        <x:v>NO_LIMIT_IPO</x:v>
      </x:c>
      <x:c r="G14" s="14" t="str">
        <x:v>605499.SH</x:v>
      </x:c>
      <x:c r="H14" s="17" t="n">
        <x:v>44343</x:v>
      </x:c>
      <x:c r="I14" s="14" t="str">
        <x:v>SSE 2014 new-listing trading supervision notice (44%/36% bounds)
https://www.sse.com.cn/aboutus/mediacenter/hotandd/c/c_20150912_3988761.shtml</x:v>
      </x:c>
      <x:c r="J14" s="14" t="str">
        <x:v>SSE listing announcement for 605499
https://www.sse.com.cn/disclosure/announcement/listing/ipo/c/c_20210526_81718214.shtml</x:v>
      </x:c>
      <x:c r="K14" s="14" t="str">
        <x:v>核对官方原文是否同时证明代码 605499.SH、交易日 2021-05-27 和期望值：涨幅上限 44%；跌幅上限 36%。</x:v>
      </x:c>
      <x:c r="L14" s="16" t="str"/>
      <x:c r="M14" s="14" t="str"/>
      <x:c r="N14" s="14" t="str"/>
      <x:c r="O14" s="16" t="str"/>
    </x:row>
    <x:row r="15" ht="74" customHeight="1">
      <x:c r="A15" s="16" t="n">
        <x:v>11</x:v>
      </x:c>
      <x:c r="B15" s="14" t="str">
        <x:v>GT-H2-ST-ST_ADD-002022-20220506</x:v>
      </x:c>
      <x:c r="C15" s="14" t="str">
        <x:v>GT-H2-ST-ST_ADD-002022-20220506</x:v>
      </x:c>
      <x:c r="D15" s="14" t="str">
        <x:v>AG-064</x:v>
      </x:c>
      <x:c r="E15" s="14" t="str">
        <x:v>仅换证据</x:v>
      </x:c>
      <x:c r="F15" s="14" t="str">
        <x:v>ST_TRANSITION</x:v>
      </x:c>
      <x:c r="G15" s="14" t="str">
        <x:v>002022.SZ</x:v>
      </x:c>
      <x:c r="H15" s="17" t="n">
        <x:v>44687</x:v>
      </x:c>
      <x:c r="I15" s="14" t="str">
        <x:v>CNINFO official announcement for 002022 risk warning
https://static.cninfo.com.cn/finalpage/2022-04-30/1213259774.PDF</x:v>
      </x:c>
      <x:c r="J15" s="14" t="str">
        <x:v>—（本行非复合事实）</x:v>
      </x:c>
      <x:c r="K15" s="14" t="str">
        <x:v>核对官方公告是否明确 002022.SZ 自 2022-05-06 起新增 ST/风险警示；交易日为 2022-05-06，期望值：ST 标记=True。</x:v>
      </x:c>
      <x:c r="L15" s="16" t="str"/>
      <x:c r="M15" s="14" t="str"/>
      <x:c r="N15" s="14" t="str"/>
      <x:c r="O15" s="16" t="str"/>
    </x:row>
    <x:row r="16" ht="74" customHeight="1">
      <x:c r="A16" s="16" t="n">
        <x:v>12</x:v>
      </x:c>
      <x:c r="B16" s="14" t="str">
        <x:v>GT-H2-ST-ST_ADD-300965-20240429</x:v>
      </x:c>
      <x:c r="C16" s="14" t="str">
        <x:v>GT-H2-ST-ST_ADD-300965-20240426</x:v>
      </x:c>
      <x:c r="D16" s="14" t="str">
        <x:v>AG-096</x:v>
      </x:c>
      <x:c r="E16" s="14" t="str">
        <x:v>事实修正</x:v>
      </x:c>
      <x:c r="F16" s="14" t="str">
        <x:v>ST_TRANSITION</x:v>
      </x:c>
      <x:c r="G16" s="14" t="str">
        <x:v>300965.SZ</x:v>
      </x:c>
      <x:c r="H16" s="17" t="n">
        <x:v>45408</x:v>
      </x:c>
      <x:c r="I16" s="14" t="str">
        <x:v>CNINFO official disclosure for 300965 risk warning
https://static.cninfo.com.cn/finalpage/2024-04-25/1219804789.PDF</x:v>
      </x:c>
      <x:c r="J16" s="14" t="str">
        <x:v>—（本行非复合事实）</x:v>
      </x:c>
      <x:c r="K16" s="14" t="str">
        <x:v>核对官方公告是否明确 300965.SZ 自 2024-04-26 起新增 ST/风险警示；交易日为 2024-04-26，期望值：ST 标记=True。</x:v>
      </x:c>
      <x:c r="L16" s="16" t="str"/>
      <x:c r="M16" s="14" t="str"/>
      <x:c r="N16" s="14" t="str"/>
      <x:c r="O16" s="16" t="str"/>
    </x:row>
  </x:sheetData>
  <x:conditionalFormatting sqref="L5:L16">
    <x:cfRule type="containsText" dxfId="0" priority="1" operator="containsText" text="APPROVE"/>
    <x:cfRule type="containsText" dxfId="1" priority="2" operator="containsText" text="REJECT"/>
  </x:conditionalFormatting>
  <x:dataValidations count="1">
    <x:dataValidation type="list" sqref="L5:L16">
      <x:formula1>"APPROVE,REJECT"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c2114904614f1f"/>
  </x:tableParts>
</x:worksheet>
</file>